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30dc8cde3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ing Template" sheetId="1" r:id="R22d8102c949e4684"/>
    <x:sheet xmlns:r="http://schemas.openxmlformats.org/officeDocument/2006/relationships" name="How to Use" sheetId="2" r:id="R812328af8ffc4f2a"/>
    <x:sheet xmlns:r="http://schemas.openxmlformats.org/officeDocument/2006/relationships" name="Wedding Cake Costing" sheetId="3" r:id="R36bfaba3e7b04dfe"/>
    <x:sheet xmlns:r="http://schemas.openxmlformats.org/officeDocument/2006/relationships" name="Monthly Profit Summary" sheetId="4" r:id="R4e14b5c6c6aa42f9"/>
  </x:sheets>
</x:workbook>
</file>

<file path=xl/comments1.xml><?xml version="1.0" encoding="utf-8"?>
<x:comments xmlns:x="http://schemas.openxmlformats.org/spreadsheetml/2006/main">
  <x:authors>
    <x:author>Template</x:author>
  </x:authors>
  <x:commentList>
    <x:comment ref="B4" authorId="0">
      <x:text>
        <x:r>
          <x:t>Example: 1 cake, 12 cupcakes, etc.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UGX&quot; #,##0"/>
    <x:numFmt numFmtId="165" formatCode="0.0%"/>
    <x:numFmt numFmtId="166" formatCode="yyyy-mm-dd"/>
    <x:numFmt numFmtId="167" formatCode="mmm yyyy"/>
  </x:numFmts>
  <x:fonts count="9">
    <x:font>
      <x:sz val="11"/>
      <x:color theme="1"/>
      <x:name val="Calibri"/>
      <x:family val="2"/>
      <x:scheme val="minor"/>
    </x:font>
    <x:font>
      <x:b/>
      <x:sz val="16"/>
    </x:font>
    <x:font>
      <x:i/>
      <x:sz val="10"/>
      <x:color rgb="00555555"/>
    </x:font>
    <x:font>
      <x:b/>
    </x:font>
    <x:font>
      <x:color rgb="000000FF"/>
    </x:font>
    <x:font>
      <x:b/>
      <x:sz val="12"/>
      <x:color rgb="00FFFFFF"/>
    </x:font>
    <x:font/>
    <x:font>
      <x:b/>
      <x:sz val="14"/>
    </x:font>
    <x:font>
      <x:i/>
    </x:font>
  </x:fonts>
  <x:fills count="7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F4B183"/>
      </x:patternFill>
    </x:fill>
    <x:fill>
      <x:patternFill patternType="solid">
        <x:fgColor rgb="00FCE4D6"/>
      </x:patternFill>
    </x:fill>
    <x:fill>
      <x:patternFill patternType="solid">
        <x:fgColor rgb="00E7E6E6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left" vertical="center"/>
    </x:xf>
    <x:xf numFmtId="0" fontId="3" fillId="0" borderId="0" xfId="0" applyAlignment="1">
      <x:alignment horizontal="left" vertical="center"/>
    </x:xf>
    <x:xf numFmtId="0" fontId="4" fillId="2" borderId="1" xfId="0" applyAlignment="1">
      <x:alignment horizontal="left" vertical="center"/>
    </x:xf>
    <x:xf numFmtId="0" fontId="5" fillId="3" borderId="0" xfId="0" applyAlignment="1">
      <x:alignment horizontal="left" vertical="center"/>
    </x:xf>
    <x:xf numFmtId="0" fontId="3" fillId="4" borderId="1" xfId="0" applyAlignment="1">
      <x:alignment horizontal="center" vertical="center"/>
    </x:xf>
    <x:xf numFmtId="2" fontId="4" fillId="2" borderId="1" xfId="0" applyAlignment="1">
      <x:alignment horizontal="right" vertical="center"/>
    </x:xf>
    <x:xf numFmtId="0" fontId="4" fillId="2" borderId="1" xfId="0" applyAlignment="1">
      <x:alignment horizontal="center" vertical="center"/>
    </x:xf>
    <x:xf numFmtId="164" fontId="4" fillId="2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0" fontId="3" fillId="5" borderId="1" xfId="0" applyAlignment="1">
      <x:alignment horizontal="right" vertical="center"/>
    </x:xf>
    <x:xf numFmtId="164" fontId="3" fillId="5" borderId="1" xfId="0" applyAlignment="1">
      <x:alignment horizontal="right" vertical="center"/>
    </x:xf>
    <x:xf numFmtId="0" fontId="3" fillId="5" borderId="1" xfId="0" applyAlignment="1">
      <x:alignment horizontal="left" vertical="center"/>
    </x:xf>
    <x:xf numFmtId="0" fontId="6" fillId="6" borderId="1" xfId="0" applyAlignment="1">
      <x:alignment horizontal="left" vertical="center"/>
    </x:xf>
    <x:xf numFmtId="164" fontId="0" fillId="6" borderId="1" xfId="0" applyAlignment="1">
      <x:alignment horizontal="right" vertical="center"/>
    </x:xf>
    <x:xf numFmtId="0" fontId="3" fillId="6" borderId="1" xfId="0" applyAlignment="1">
      <x:alignment horizontal="left" vertical="center"/>
    </x:xf>
    <x:xf numFmtId="165" fontId="4" fillId="2" borderId="1" xfId="0" applyAlignment="1">
      <x:alignment horizontal="right" vertical="center"/>
    </x:xf>
    <x:xf numFmtId="164" fontId="3" fillId="0" borderId="1" xfId="0" applyAlignment="1">
      <x:alignment horizontal="right" vertical="center"/>
    </x:xf>
    <x:xf numFmtId="165" fontId="3" fillId="0" borderId="1" xfId="0" applyAlignment="1">
      <x:alignment horizontal="right" vertical="center"/>
    </x:xf>
    <x:xf numFmtId="0" fontId="3" fillId="0" borderId="1" xfId="0" applyAlignment="1">
      <x:alignment horizontal="left" vertical="center"/>
    </x:xf>
    <x:xf numFmtId="0" fontId="7" fillId="0" borderId="0" xfId="0"/>
    <x:xf numFmtId="0" fontId="0" fillId="0" borderId="0" xfId="0" applyAlignment="1">
      <x:alignment vertical="top" wrapText="1"/>
    </x:xf>
    <x:xf numFmtId="0" fontId="8" fillId="0" borderId="0" xfId="0" applyAlignment="1">
      <x:alignment vertical="top" wrapText="1"/>
    </x:xf>
    <x:xf numFmtId="0" fontId="4" fillId="2" borderId="1" xfId="0" applyAlignment="1">
      <x:alignment horizontal="right" vertical="center"/>
    </x:xf>
    <x:xf numFmtId="0" fontId="3" fillId="6" borderId="1" xfId="0" applyAlignment="1">
      <x:alignment horizontal="left" vertical="center" wrapText="1"/>
    </x:xf>
    <x:xf numFmtId="166" fontId="4" fillId="2" borderId="1" xfId="0" applyAlignment="1">
      <x:alignment horizontal="left" vertical="center"/>
    </x:xf>
    <x:xf numFmtId="1" fontId="4" fillId="2" borderId="1" xfId="0" applyAlignment="1">
      <x:alignment horizontal="left" vertical="center"/>
    </x:xf>
    <x:xf numFmtId="1" fontId="4" fillId="2" borderId="1" xfId="0" applyAlignment="1">
      <x:alignment horizontal="right" vertical="center"/>
    </x:xf>
    <x:xf numFmtId="166" fontId="4" fillId="2" borderId="1" xfId="0" applyAlignment="1">
      <x:alignment horizontal="right" vertical="center"/>
    </x:xf>
    <x:xf numFmtId="166" fontId="3" fillId="0" borderId="1" xfId="0" applyAlignment="1">
      <x:alignment horizontal="right" vertical="center"/>
    </x:xf>
    <x:xf numFmtId="167" fontId="3" fillId="6" borderId="1" xfId="0" applyAlignment="1">
      <x:alignment horizontal="left" vertical="center"/>
    </x:xf>
  </x:cellXfs>
  <x:cellStyles count="1">
    <x:cellStyle name="Normal" xfId="0"/>
  </x:cellStyles>
  <x:dxfs count="3">
    <x:dxf>
      <x:fill>
        <x:patternFill>
          <x:bgColor rgb="00F8CBAD"/>
        </x:patternFill>
      </x:fill>
    </x:dxf>
    <x:dxf>
      <x:fill>
        <x:patternFill>
          <x:bgColor rgb="00FFE699"/>
        </x:patternFill>
      </x:fill>
    </x:dxf>
    <x:dxf>
      <x:fill>
        <x:patternFill>
          <x:bgColor rgb="00F8CBA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6f0c0ece54129" /><Relationship Type="http://schemas.openxmlformats.org/officeDocument/2006/relationships/theme" Target="/xl/theme/theme1.xml" Id="R8a849ff3c26f47fc" /><Relationship Type="http://schemas.openxmlformats.org/officeDocument/2006/relationships/sharedStrings" Target="/xl/sharedStrings.xml" Id="Rc36a9c8d6f944635" /><Relationship Type="http://schemas.openxmlformats.org/officeDocument/2006/relationships/worksheet" Target="/xl/worksheets/sheet1.xml" Id="R22d8102c949e4684" /><Relationship Type="http://schemas.openxmlformats.org/officeDocument/2006/relationships/worksheet" Target="/xl/worksheets/sheet2.xml" Id="R812328af8ffc4f2a" /><Relationship Type="http://schemas.openxmlformats.org/officeDocument/2006/relationships/worksheet" Target="/xl/worksheets/sheet3.xml" Id="R36bfaba3e7b04dfe" /><Relationship Type="http://schemas.openxmlformats.org/officeDocument/2006/relationships/worksheet" Target="/xl/worksheets/sheet4.xml" Id="R4e14b5c6c6aa42f9" /><Relationship Type="http://schemas.microsoft.com/office/2017/10/relationships/person" Target="/xl/persons/person.xml" Id="R4db242d9c20b439a" /></Relationships>
</file>

<file path=xl/persons/person.xml><?xml version="1.0" encoding="utf-8"?>
<xltc:personList xmlns:xltc="http://schemas.microsoft.com/office/spreadsheetml/2018/threadedcomments">
  <xltc:person displayName="Template" id="{57AA5C6E-CBEC-C7CE-D42F-D9255F27497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9aa965fa65e4960" /><Relationship Type="http://schemas.openxmlformats.org/officeDocument/2006/relationships/vmlDrawing" Target="/xl/drawings/vmldrawing.vml" Id="Rdbe8641e61cc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4" customWidth="1"/>
    <x:col min="3" max="3" width="10" customWidth="1"/>
    <x:col min="4" max="4" width="18" customWidth="1"/>
    <x:col min="5" max="5" width="18" customWidth="1"/>
  </x:cols>
  <x:sheetData>
    <x:row r="1" ht="28" customHeight="1">
      <x:c r="A1" s="1" t="inlineStr">
        <x:is>
          <x:t xml:space="preserve">Baker’s Costing Template</x:t>
        </x:is>
      </x:c>
    </x:row>
    <x:row r="2" ht="18" customHeight="1">
      <x:c r="A2" s="2" t="inlineStr">
        <x:is>
          <x:t xml:space="preserve">Note: Enter weight ingredient costs per KG. If you use grams (g), the sheet converts automatically.</x:t>
        </x:is>
      </x:c>
    </x:row>
    <x:row r="3">
      <x:c r="A3" s="3" t="inlineStr">
        <x:is>
          <x:t xml:space="preserve">Product Name</x:t>
        </x:is>
      </x:c>
      <x:c r="B3" s="4" t="inlineStr">
        <x:is>
          <x:t xml:space="preserve"/>
        </x:is>
      </x:c>
    </x:row>
    <x:row r="4">
      <x:c r="A4" s="3" t="inlineStr">
        <x:is>
          <x:t xml:space="preserve">Batch Size (Units)</x:t>
        </x:is>
      </x:c>
      <x:c r="B4" s="4" t="inlineStr">
        <x:is>
          <x:t xml:space="preserve"/>
        </x:is>
      </x:c>
    </x:row>
    <x:row r="5">
      <x:c r="A5" s="3" t="inlineStr">
        <x:is>
          <x:t xml:space="preserve">Date</x:t>
        </x:is>
      </x:c>
      <x:c r="B5" s="4" t="inlineStr">
        <x:is>
          <x:t xml:space="preserve"/>
        </x:is>
      </x:c>
    </x:row>
    <x:row r="7" ht="20" customHeight="1">
      <x:c r="A7" s="5" t="inlineStr">
        <x:is>
          <x:t xml:space="preserve">Ingredient Costing</x:t>
        </x:is>
      </x:c>
    </x:row>
    <x:row r="8" ht="18" customHeight="1">
      <x:c r="A8" s="6" t="inlineStr">
        <x:is>
          <x:t xml:space="preserve">Ingredient</x:t>
        </x:is>
      </x:c>
      <x:c r="B8" s="6" t="inlineStr">
        <x:is>
          <x:t xml:space="preserve">Qty Used</x:t>
        </x:is>
      </x:c>
      <x:c r="C8" s="6" t="inlineStr">
        <x:is>
          <x:t xml:space="preserve">Unit</x:t>
        </x:is>
      </x:c>
      <x:c r="D8" s="6" t="inlineStr">
        <x:is>
          <x:t xml:space="preserve">Cost per Unit</x:t>
        </x:is>
      </x:c>
      <x:c r="E8" s="6" t="inlineStr">
        <x:is>
          <x:t xml:space="preserve">Total Cost</x:t>
        </x:is>
      </x:c>
    </x:row>
    <x:row r="9">
      <x:c r="A9" s="4" t="inlineStr">
        <x:is>
          <x:t xml:space="preserve"/>
        </x:is>
      </x:c>
      <x:c r="B9" s="7" t="inlineStr">
        <x:is>
          <x:t xml:space="preserve"/>
        </x:is>
      </x:c>
      <x:c r="C9" s="8" t="inlineStr">
        <x:is>
          <x:t xml:space="preserve"/>
        </x:is>
      </x:c>
      <x:c r="D9" s="9" t="inlineStr">
        <x:is>
          <x:t xml:space="preserve"/>
        </x:is>
      </x:c>
      <x:c r="E9" s="10">
        <x:f>IF(OR(B9="",C9="",D9=""),"",IF(C9="g",(B9/1000)*D9,IF(C9="kg",B9*D9,B9*D9)))</x:f>
      </x:c>
    </x:row>
    <x:row r="10">
      <x:c r="A10" s="4" t="inlineStr">
        <x:is>
          <x:t xml:space="preserve"/>
        </x:is>
      </x:c>
      <x:c r="B10" s="7" t="inlineStr">
        <x:is>
          <x:t xml:space="preserve"/>
        </x:is>
      </x:c>
      <x:c r="C10" s="8" t="inlineStr">
        <x:is>
          <x:t xml:space="preserve"/>
        </x:is>
      </x:c>
      <x:c r="D10" s="9" t="inlineStr">
        <x:is>
          <x:t xml:space="preserve"/>
        </x:is>
      </x:c>
      <x:c r="E10" s="10">
        <x:f>IF(OR(B10="",C10="",D10=""),"",IF(C10="g",(B10/1000)*D10,IF(C10="kg",B10*D10,B10*D10)))</x:f>
      </x:c>
    </x:row>
    <x:row r="11">
      <x:c r="A11" s="4" t="inlineStr">
        <x:is>
          <x:t xml:space="preserve"/>
        </x:is>
      </x:c>
      <x:c r="B11" s="7" t="inlineStr">
        <x:is>
          <x:t xml:space="preserve"/>
        </x:is>
      </x:c>
      <x:c r="C11" s="8" t="inlineStr">
        <x:is>
          <x:t xml:space="preserve"/>
        </x:is>
      </x:c>
      <x:c r="D11" s="9" t="inlineStr">
        <x:is>
          <x:t xml:space="preserve"/>
        </x:is>
      </x:c>
      <x:c r="E11" s="10">
        <x:f>IF(OR(B11="",C11="",D11=""),"",IF(C11="g",(B11/1000)*D11,IF(C11="kg",B11*D11,B11*D11)))</x:f>
      </x:c>
    </x:row>
    <x:row r="12">
      <x:c r="A12" s="4" t="inlineStr">
        <x:is>
          <x:t xml:space="preserve"/>
        </x:is>
      </x:c>
      <x:c r="B12" s="7" t="inlineStr">
        <x:is>
          <x:t xml:space="preserve"/>
        </x:is>
      </x:c>
      <x:c r="C12" s="8" t="inlineStr">
        <x:is>
          <x:t xml:space="preserve"/>
        </x:is>
      </x:c>
      <x:c r="D12" s="9" t="inlineStr">
        <x:is>
          <x:t xml:space="preserve"/>
        </x:is>
      </x:c>
      <x:c r="E12" s="10">
        <x:f>IF(OR(B12="",C12="",D12=""),"",IF(C12="g",(B12/1000)*D12,IF(C12="kg",B12*D12,B12*D12)))</x:f>
      </x:c>
    </x:row>
    <x:row r="13">
      <x:c r="A13" s="4" t="inlineStr">
        <x:is>
          <x:t xml:space="preserve"/>
        </x:is>
      </x:c>
      <x:c r="B13" s="7" t="inlineStr">
        <x:is>
          <x:t xml:space="preserve"/>
        </x:is>
      </x:c>
      <x:c r="C13" s="8" t="inlineStr">
        <x:is>
          <x:t xml:space="preserve"/>
        </x:is>
      </x:c>
      <x:c r="D13" s="9" t="inlineStr">
        <x:is>
          <x:t xml:space="preserve"/>
        </x:is>
      </x:c>
      <x:c r="E13" s="10">
        <x:f>IF(OR(B13="",C13="",D13=""),"",IF(C13="g",(B13/1000)*D13,IF(C13="kg",B13*D13,B13*D13)))</x:f>
      </x:c>
    </x:row>
    <x:row r="14">
      <x:c r="A14" s="4" t="inlineStr">
        <x:is>
          <x:t xml:space="preserve"/>
        </x:is>
      </x:c>
      <x:c r="B14" s="7" t="inlineStr">
        <x:is>
          <x:t xml:space="preserve"/>
        </x:is>
      </x:c>
      <x:c r="C14" s="8" t="inlineStr">
        <x:is>
          <x:t xml:space="preserve"/>
        </x:is>
      </x:c>
      <x:c r="D14" s="9" t="inlineStr">
        <x:is>
          <x:t xml:space="preserve"/>
        </x:is>
      </x:c>
      <x:c r="E14" s="10">
        <x:f>IF(OR(B14="",C14="",D14=""),"",IF(C14="g",(B14/1000)*D14,IF(C14="kg",B14*D14,B14*D14)))</x:f>
      </x:c>
    </x:row>
    <x:row r="15">
      <x:c r="A15" s="4" t="inlineStr">
        <x:is>
          <x:t xml:space="preserve"/>
        </x:is>
      </x:c>
      <x:c r="B15" s="7" t="inlineStr">
        <x:is>
          <x:t xml:space="preserve"/>
        </x:is>
      </x:c>
      <x:c r="C15" s="8" t="inlineStr">
        <x:is>
          <x:t xml:space="preserve"/>
        </x:is>
      </x:c>
      <x:c r="D15" s="9" t="inlineStr">
        <x:is>
          <x:t xml:space="preserve"/>
        </x:is>
      </x:c>
      <x:c r="E15" s="10">
        <x:f>IF(OR(B15="",C15="",D15=""),"",IF(C15="g",(B15/1000)*D15,IF(C15="kg",B15*D15,B15*D15)))</x:f>
      </x:c>
    </x:row>
    <x:row r="16">
      <x:c r="A16" s="4" t="inlineStr">
        <x:is>
          <x:t xml:space="preserve"/>
        </x:is>
      </x:c>
      <x:c r="B16" s="7" t="inlineStr">
        <x:is>
          <x:t xml:space="preserve"/>
        </x:is>
      </x:c>
      <x:c r="C16" s="8" t="inlineStr">
        <x:is>
          <x:t xml:space="preserve"/>
        </x:is>
      </x:c>
      <x:c r="D16" s="9" t="inlineStr">
        <x:is>
          <x:t xml:space="preserve"/>
        </x:is>
      </x:c>
      <x:c r="E16" s="10">
        <x:f>IF(OR(B16="",C16="",D16=""),"",IF(C16="g",(B16/1000)*D16,IF(C16="kg",B16*D16,B16*D16)))</x:f>
      </x:c>
    </x:row>
    <x:row r="17">
      <x:c r="A17" s="4" t="inlineStr">
        <x:is>
          <x:t xml:space="preserve"/>
        </x:is>
      </x:c>
      <x:c r="B17" s="7" t="inlineStr">
        <x:is>
          <x:t xml:space="preserve"/>
        </x:is>
      </x:c>
      <x:c r="C17" s="8" t="inlineStr">
        <x:is>
          <x:t xml:space="preserve"/>
        </x:is>
      </x:c>
      <x:c r="D17" s="9" t="inlineStr">
        <x:is>
          <x:t xml:space="preserve"/>
        </x:is>
      </x:c>
      <x:c r="E17" s="10">
        <x:f>IF(OR(B17="",C17="",D17=""),"",IF(C17="g",(B17/1000)*D17,IF(C17="kg",B17*D17,B17*D17)))</x:f>
      </x:c>
    </x:row>
    <x:row r="18">
      <x:c r="A18" s="4" t="inlineStr">
        <x:is>
          <x:t xml:space="preserve"/>
        </x:is>
      </x:c>
      <x:c r="B18" s="7" t="inlineStr">
        <x:is>
          <x:t xml:space="preserve"/>
        </x:is>
      </x:c>
      <x:c r="C18" s="8" t="inlineStr">
        <x:is>
          <x:t xml:space="preserve"/>
        </x:is>
      </x:c>
      <x:c r="D18" s="9" t="inlineStr">
        <x:is>
          <x:t xml:space="preserve"/>
        </x:is>
      </x:c>
      <x:c r="E18" s="10">
        <x:f>IF(OR(B18="",C18="",D18=""),"",IF(C18="g",(B18/1000)*D18,IF(C18="kg",B18*D18,B18*D18)))</x:f>
      </x:c>
    </x:row>
    <x:row r="19">
      <x:c r="A19" s="4" t="inlineStr">
        <x:is>
          <x:t xml:space="preserve"/>
        </x:is>
      </x:c>
      <x:c r="B19" s="7" t="inlineStr">
        <x:is>
          <x:t xml:space="preserve"/>
        </x:is>
      </x:c>
      <x:c r="C19" s="8" t="inlineStr">
        <x:is>
          <x:t xml:space="preserve"/>
        </x:is>
      </x:c>
      <x:c r="D19" s="9" t="inlineStr">
        <x:is>
          <x:t xml:space="preserve"/>
        </x:is>
      </x:c>
      <x:c r="E19" s="10">
        <x:f>IF(OR(B19="",C19="",D19=""),"",IF(C19="g",(B19/1000)*D19,IF(C19="kg",B19*D19,B19*D19)))</x:f>
      </x:c>
    </x:row>
    <x:row r="20">
      <x:c r="A20" s="4" t="inlineStr">
        <x:is>
          <x:t xml:space="preserve"/>
        </x:is>
      </x:c>
      <x:c r="B20" s="7" t="inlineStr">
        <x:is>
          <x:t xml:space="preserve"/>
        </x:is>
      </x:c>
      <x:c r="C20" s="8" t="inlineStr">
        <x:is>
          <x:t xml:space="preserve"/>
        </x:is>
      </x:c>
      <x:c r="D20" s="9" t="inlineStr">
        <x:is>
          <x:t xml:space="preserve"/>
        </x:is>
      </x:c>
      <x:c r="E20" s="10">
        <x:f>IF(OR(B20="",C20="",D20=""),"",IF(C20="g",(B20/1000)*D20,IF(C20="kg",B20*D20,B20*D20)))</x:f>
      </x:c>
    </x:row>
    <x:row r="21" ht="18" customHeight="1">
      <x:c r="D21" s="11" t="inlineStr">
        <x:is>
          <x:t xml:space="preserve">Ingredient Total</x:t>
        </x:is>
      </x:c>
      <x:c r="E21" s="12">
        <x:f>SUM(E9:E20)</x:f>
        <x:v>0</x:v>
      </x:c>
    </x:row>
    <x:row r="23" ht="20" customHeight="1">
      <x:c r="A23" s="5" t="inlineStr">
        <x:is>
          <x:t xml:space="preserve">Packaging Cost</x:t>
        </x:is>
      </x:c>
    </x:row>
    <x:row r="24">
      <x:c r="A24" s="6" t="inlineStr">
        <x:is>
          <x:t xml:space="preserve">Packaging Item</x:t>
        </x:is>
      </x:c>
      <x:c r="B24" s="6" t="inlineStr">
        <x:is>
          <x:t xml:space="preserve">Qty</x:t>
        </x:is>
      </x:c>
      <x:c r="C24" s="6" t="inlineStr">
        <x:is>
          <x:t xml:space="preserve">Cost</x:t>
        </x:is>
      </x:c>
    </x:row>
    <x:row r="25">
      <x:c r="A25" s="4" t="inlineStr">
        <x:is>
          <x:t xml:space="preserve"/>
        </x:is>
      </x:c>
      <x:c r="B25" s="7" t="inlineStr">
        <x:is>
          <x:t xml:space="preserve"/>
        </x:is>
      </x:c>
      <x:c r="C25" s="9" t="inlineStr">
        <x:is>
          <x:t xml:space="preserve"/>
        </x:is>
      </x:c>
    </x:row>
    <x:row r="26">
      <x:c r="A26" s="4" t="inlineStr">
        <x:is>
          <x:t xml:space="preserve"/>
        </x:is>
      </x:c>
      <x:c r="B26" s="7" t="inlineStr">
        <x:is>
          <x:t xml:space="preserve"/>
        </x:is>
      </x:c>
      <x:c r="C26" s="9" t="inlineStr">
        <x:is>
          <x:t xml:space="preserve"/>
        </x:is>
      </x:c>
    </x:row>
    <x:row r="27">
      <x:c r="A27" s="4" t="inlineStr">
        <x:is>
          <x:t xml:space="preserve"/>
        </x:is>
      </x:c>
      <x:c r="B27" s="7" t="inlineStr">
        <x:is>
          <x:t xml:space="preserve"/>
        </x:is>
      </x:c>
      <x:c r="C27" s="9" t="inlineStr">
        <x:is>
          <x:t xml:space="preserve"/>
        </x:is>
      </x:c>
    </x:row>
    <x:row r="28">
      <x:c r="A28" s="4" t="inlineStr">
        <x:is>
          <x:t xml:space="preserve"/>
        </x:is>
      </x:c>
      <x:c r="B28" s="7" t="inlineStr">
        <x:is>
          <x:t xml:space="preserve"/>
        </x:is>
      </x:c>
      <x:c r="C28" s="9" t="inlineStr">
        <x:is>
          <x:t xml:space="preserve"/>
        </x:is>
      </x:c>
    </x:row>
    <x:row r="29">
      <x:c r="A29" s="4" t="inlineStr">
        <x:is>
          <x:t xml:space="preserve"/>
        </x:is>
      </x:c>
      <x:c r="B29" s="7" t="inlineStr">
        <x:is>
          <x:t xml:space="preserve"/>
        </x:is>
      </x:c>
      <x:c r="C29" s="9" t="inlineStr">
        <x:is>
          <x:t xml:space="preserve"/>
        </x:is>
      </x:c>
    </x:row>
    <x:row r="30">
      <x:c r="A30" s="4" t="inlineStr">
        <x:is>
          <x:t xml:space="preserve"/>
        </x:is>
      </x:c>
      <x:c r="B30" s="7" t="inlineStr">
        <x:is>
          <x:t xml:space="preserve"/>
        </x:is>
      </x:c>
      <x:c r="C30" s="9" t="inlineStr">
        <x:is>
          <x:t xml:space="preserve"/>
        </x:is>
      </x:c>
    </x:row>
    <x:row r="31">
      <x:c r="B31" s="11" t="inlineStr">
        <x:is>
          <x:t xml:space="preserve">Packaging Total</x:t>
        </x:is>
      </x:c>
      <x:c r="C31" s="12">
        <x:f>SUM(C25:C30)</x:f>
        <x:v>0</x:v>
      </x:c>
    </x:row>
    <x:row r="33" ht="20" customHeight="1">
      <x:c r="A33" s="5" t="inlineStr">
        <x:is>
          <x:t xml:space="preserve">Labor Cost</x:t>
        </x:is>
      </x:c>
    </x:row>
    <x:row r="34">
      <x:c r="A34" s="3" t="inlineStr">
        <x:is>
          <x:t xml:space="preserve">Hours Worked</x:t>
        </x:is>
      </x:c>
      <x:c r="B34" s="7" t="inlineStr">
        <x:is>
          <x:t xml:space="preserve"/>
        </x:is>
      </x:c>
    </x:row>
    <x:row r="35">
      <x:c r="A35" s="3" t="inlineStr">
        <x:is>
          <x:t xml:space="preserve">Rate per Hour</x:t>
        </x:is>
      </x:c>
      <x:c r="B35" s="9" t="inlineStr">
        <x:is>
          <x:t xml:space="preserve"/>
        </x:is>
      </x:c>
    </x:row>
    <x:row r="37">
      <x:c r="A37" s="13" t="inlineStr">
        <x:is>
          <x:t xml:space="preserve">Labor Cost</x:t>
        </x:is>
      </x:c>
      <x:c r="B37" s="12">
        <x:f>IF(OR(B34="",B35=""),"",B34*B35)</x:f>
      </x:c>
    </x:row>
    <x:row r="39" ht="20" customHeight="1">
      <x:c r="A39" s="5" t="inlineStr">
        <x:is>
          <x:t xml:space="preserve">Overhead Allocation</x:t>
        </x:is>
      </x:c>
    </x:row>
    <x:row r="40">
      <x:c r="A40" s="3" t="inlineStr">
        <x:is>
          <x:t xml:space="preserve">Monthly Overhead Cost</x:t>
        </x:is>
      </x:c>
      <x:c r="B40" s="9" t="inlineStr">
        <x:is>
          <x:t xml:space="preserve"/>
        </x:is>
      </x:c>
    </x:row>
    <x:row r="41">
      <x:c r="A41" s="3" t="inlineStr">
        <x:is>
          <x:t xml:space="preserve">Monthly Units Produced</x:t>
        </x:is>
      </x:c>
      <x:c r="B41" s="7" t="inlineStr">
        <x:is>
          <x:t xml:space="preserve"/>
        </x:is>
      </x:c>
    </x:row>
    <x:row r="42">
      <x:c r="A42" s="13" t="inlineStr">
        <x:is>
          <x:t xml:space="preserve">Overhead per Unit</x:t>
        </x:is>
      </x:c>
      <x:c r="B42" s="12">
        <x:f>IF(OR(B40="",B41=""),"",B40/B41)</x:f>
      </x:c>
    </x:row>
    <x:row r="44" ht="20" customHeight="1">
      <x:c r="A44" s="5" t="inlineStr">
        <x:is>
          <x:t xml:space="preserve">Total Cost Summary</x:t>
        </x:is>
      </x:c>
    </x:row>
    <x:row r="45">
      <x:c r="A45" s="14" t="inlineStr">
        <x:is>
          <x:t xml:space="preserve">Ingredients</x:t>
        </x:is>
      </x:c>
      <x:c r="B45" s="15">
        <x:f>E21</x:f>
        <x:v>0</x:v>
      </x:c>
    </x:row>
    <x:row r="46">
      <x:c r="A46" s="14" t="inlineStr">
        <x:is>
          <x:t xml:space="preserve">Packaging</x:t>
        </x:is>
      </x:c>
      <x:c r="B46" s="15">
        <x:f>C31</x:f>
        <x:v>0</x:v>
      </x:c>
    </x:row>
    <x:row r="47">
      <x:c r="A47" s="14" t="inlineStr">
        <x:is>
          <x:t xml:space="preserve">Labor</x:t>
        </x:is>
      </x:c>
      <x:c r="B47" s="15">
        <x:f>B37</x:f>
      </x:c>
    </x:row>
    <x:row r="48">
      <x:c r="A48" s="14" t="inlineStr">
        <x:is>
          <x:t xml:space="preserve">Overhead</x:t>
        </x:is>
      </x:c>
      <x:c r="B48" s="15">
        <x:f>B42</x:f>
      </x:c>
    </x:row>
    <x:row r="49">
      <x:c r="A49" s="13" t="inlineStr">
        <x:is>
          <x:t xml:space="preserve">TOTAL COST</x:t>
        </x:is>
      </x:c>
      <x:c r="B49" s="12">
        <x:f>SUM(B45:B48)</x:f>
        <x:v>0</x:v>
      </x:c>
    </x:row>
    <x:row r="51" ht="20" customHeight="1">
      <x:c r="A51" s="5" t="inlineStr">
        <x:is>
          <x:t xml:space="preserve">Pricing &amp; Profit</x:t>
        </x:is>
      </x:c>
    </x:row>
    <x:row r="52">
      <x:c r="A52" s="16" t="inlineStr">
        <x:is>
          <x:t xml:space="preserve">Markup %</x:t>
        </x:is>
      </x:c>
      <x:c r="B52" s="17" t="inlineStr">
        <x:is>
          <x:t xml:space="preserve"/>
        </x:is>
      </x:c>
    </x:row>
    <x:row r="53">
      <x:c r="A53" s="16" t="inlineStr">
        <x:is>
          <x:t xml:space="preserve">Selling Price</x:t>
        </x:is>
      </x:c>
      <x:c r="B53" s="18">
        <x:f>IF($B$49="","",   IF($B$60="",      $B$49*(1+$B$52),      IF($B$60="Auto (recommended)",         $B$61,         IF($B$60="Markup %",            IF($B$52="","",$B$49*(1+$B$52)),            IF($B$60="Target Profit (UGX)",               IF($B$58="","",$B$49+$B$58),               IF($B$60="Target Margin %",                  IF(OR($B$59="", $B$59&gt;=1),"",$B$49/(1-$B$59)),                  $B$49*(1+$B$52)               )            )         )      )   ))</x:f>
      </x:c>
    </x:row>
    <x:row r="54">
      <x:c r="A54" s="16" t="inlineStr">
        <x:is>
          <x:t xml:space="preserve">Profit per Item</x:t>
        </x:is>
      </x:c>
      <x:c r="B54" s="18">
        <x:f>B53-B49</x:f>
      </x:c>
    </x:row>
    <x:row r="55">
      <x:c r="A55" s="16" t="inlineStr">
        <x:is>
          <x:t xml:space="preserve">Profit Margin %</x:t>
        </x:is>
      </x:c>
      <x:c r="B55" s="19">
        <x:f>IFERROR(B54/B53,"")</x:f>
      </x:c>
    </x:row>
    <x:row r="57">
      <x:c r="A57" s="20" t="inlineStr">
        <x:is>
          <x:t xml:space="preserve">Cost per Unit</x:t>
        </x:is>
      </x:c>
      <x:c r="B57" s="10">
        <x:f>IF(OR($B$4="", $B$4=0),"", $B$49/$B$4)</x:f>
      </x:c>
    </x:row>
    <x:row r="58">
      <x:c r="A58" s="16" t="inlineStr">
        <x:is>
          <x:t xml:space="preserve">Target Profit (UGX)</x:t>
        </x:is>
      </x:c>
      <x:c r="B58" s="9" t="inlineStr">
        <x:is>
          <x:t xml:space="preserve"/>
        </x:is>
      </x:c>
    </x:row>
    <x:row r="59">
      <x:c r="A59" s="16" t="inlineStr">
        <x:is>
          <x:t xml:space="preserve">Target Profit Margin %</x:t>
        </x:is>
      </x:c>
      <x:c r="B59" s="17" t="inlineStr">
        <x:is>
          <x:t xml:space="preserve"/>
        </x:is>
      </x:c>
    </x:row>
    <x:row r="60">
      <x:c r="A60" s="16" t="inlineStr">
        <x:is>
          <x:t xml:space="preserve">Pricing Mode</x:t>
        </x:is>
      </x:c>
      <x:c r="B60" s="24" t="inlineStr">
        <x:is>
          <x:t xml:space="preserve"/>
        </x:is>
      </x:c>
    </x:row>
    <x:row r="61">
      <x:c r="A61" s="16" t="inlineStr">
        <x:is>
          <x:t xml:space="preserve">Auto Recommended Price</x:t>
        </x:is>
      </x:c>
      <x:c r="B61" s="18">
        <x:f>IF($B$49="","",   IF(MAX(      IF($B$52="",0,$B$49*(1+$B$52)),      IF($B$58="",0,$B$49+$B$58),      IF(OR($B$59="", $B$59&gt;=1),0,$B$49/(1-$B$59))   )=0,"",   MAX(      IF($B$52="",0,$B$49*(1+$B$52)),      IF($B$58="",0,$B$49+$B$58),      IF(OR($B$59="", $B$59&gt;=1),0,$B$49/(1-$B$59))   )))</x:f>
      </x:c>
    </x:row>
    <x:row r="62">
      <x:c r="A62" s="16" t="inlineStr">
        <x:is>
          <x:t xml:space="preserve">Underpricing Alert</x:t>
        </x:is>
      </x:c>
      <x:c r="B62" s="25">
        <x:f>IF(OR($B$53="", $B$61="", $B$60="Auto (recommended)"),"", IF($B$53&lt;$B$61, "Underpricing risk: consider UGX "&amp;TEXT($B$61,"#,##0"), "OK"))</x:f>
      </x:c>
    </x:row>
  </x:sheetData>
  <x:mergeCells>
    <x:mergeCell ref="A2:E2"/>
    <x:mergeCell ref="A23:C23"/>
    <x:mergeCell ref="A33:B33"/>
    <x:mergeCell ref="A51:B51"/>
    <x:mergeCell ref="A7:E7"/>
    <x:mergeCell ref="A1:E1"/>
    <x:mergeCell ref="A44:B44"/>
    <x:mergeCell ref="A39:B39"/>
  </x:mergeCells>
  <x:conditionalFormatting sqref="B54:B54">
    <x:cfRule type="cellIs" dxfId="0" priority="1" operator="lessThanOrEqual">
      <x:formula>0</x:formula>
    </x:cfRule>
  </x:conditionalFormatting>
  <x:conditionalFormatting sqref="B55:B55">
    <x:cfRule type="cellIs" dxfId="1" priority="2" operator="lessThan">
      <x:formula>0.2</x:formula>
    </x:cfRule>
  </x:conditionalFormatting>
  <x:conditionalFormatting sqref="B62:B62">
    <x:cfRule type="expression" dxfId="2" priority="3">
      <x:formula>AND($B$53&lt;$B$61,$B$53&lt;&gt;"",$B$61&lt;&gt;"",$B$60&lt;&gt;"Auto (recommended)")</x:formula>
    </x:cfRule>
  </x:conditionalFormatting>
  <x:pageMargins left="0.7" right="0.7" top="0.75" bottom="0.75" header="0.3" footer="0.3"/>
  <x:legacyDrawing xmlns:r="http://schemas.openxmlformats.org/officeDocument/2006/relationships" r:id="Rdbe8641e61cc4fc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21" t="inlineStr">
        <x:is>
          <x:t xml:space="preserve">How to Use This Template</x:t>
        </x:is>
      </x:c>
    </x:row>
    <x:row r="3">
      <x:c r="A3" s="22" t="inlineStr">
        <x:is>
          <x:t xml:space="preserve">1) Fill in the yellow cells only (inputs). Blue text indicates editable fields.</x:t>
        </x:is>
      </x:c>
    </x:row>
    <x:row r="4">
      <x:c r="A4" s="22" t="inlineStr">
        <x:is>
          <x:t xml:space="preserve">2) For ingredients measured by weight, enter the cost per unit as UGX per KG.</x:t>
        </x:is>
      </x:c>
    </x:row>
    <x:row r="5">
      <x:c r="A5" s="22" t="inlineStr">
        <x:is>
          <x:t xml:space="preserve">3) Choose units from the drop-down (g, kg, pcs, ml, l). Grams (g) are automatically converted to kg.</x:t>
        </x:is>
      </x:c>
    </x:row>
    <x:row r="6">
      <x:c r="A6" s="22" t="inlineStr">
        <x:is>
          <x:t xml:space="preserve">4) The sheet calculates your true cost (ingredients + packaging + labor + overhead).</x:t>
        </x:is>
      </x:c>
    </x:row>
    <x:row r="7">
      <x:c r="A7" s="22" t="inlineStr">
        <x:is>
          <x:t xml:space="preserve">5) Enter a markup % to see the suggested selling price, profit per item, and profit margin.</x:t>
        </x:is>
      </x:c>
    </x:row>
    <x:row r="8">
      <x:c r="A8" s="22" t="inlineStr">
        <x:is>
          <x:t xml:space="preserve">6) Pricing now supports Markup %, Target Profit (UGX), Target Profit Margin %, or Auto (recommended). Set "Pricing Mode" in the Costing Template.</x:t>
        </x:is>
      </x:c>
    </x:row>
    <x:row r="9">
      <x:c r="A9" s="22" t="inlineStr">
        <x:is>
          <x:t xml:space="preserve">7) Use the "Wedding Cake Costing" sheet to total multi-tier and add-on costs, then apply pricing for the full order.</x:t>
        </x:is>
      </x:c>
    </x:row>
    <x:row r="10">
      <x:c r="A10" s="22" t="inlineStr">
        <x:is>
          <x:t xml:space="preserve">8) Use "Monthly Profit Summary" to log sales and see revenue, cost, and profit totals by month.</x:t>
        </x:is>
      </x:c>
    </x:row>
    <x:row r="12">
      <x:c r="A12" s="23" t="inlineStr">
        <x:is>
          <x:t xml:space="preserve">Tip: Copy the 'Costing Template' sheet for each new product (right-click the tab → Move or Copy → Create a copy).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14" customWidth="1"/>
    <x:col min="3" max="3" width="12" customWidth="1"/>
    <x:col min="4" max="4" width="18" customWidth="1"/>
    <x:col min="5" max="5" width="18" customWidth="1"/>
  </x:cols>
  <x:sheetData>
    <x:row r="1">
      <x:c r="A1" s="1" t="inlineStr">
        <x:is>
          <x:t xml:space="preserve">Wedding Cake Multi-Tier Costing</x:t>
        </x:is>
      </x:c>
    </x:row>
    <x:row r="2">
      <x:c r="A2" s="2" t="n"/>
    </x:row>
    <x:row r="3">
      <x:c r="A3" s="3" t="inlineStr">
        <x:is>
          <x:t xml:space="preserve">Client / Order Name</x:t>
        </x:is>
      </x:c>
      <x:c r="B3" s="4" t="inlineStr">
        <x:is>
          <x:t xml:space="preserve"/>
        </x:is>
      </x:c>
    </x:row>
    <x:row r="4">
      <x:c r="A4" s="3" t="inlineStr">
        <x:is>
          <x:t xml:space="preserve">Event Date</x:t>
        </x:is>
      </x:c>
      <x:c r="B4" s="26" t="inlineStr">
        <x:is>
          <x:t xml:space="preserve"/>
        </x:is>
      </x:c>
    </x:row>
    <x:row r="5">
      <x:c r="A5" s="3" t="inlineStr">
        <x:is>
          <x:t xml:space="preserve">Guest Count</x:t>
        </x:is>
      </x:c>
      <x:c r="B5" s="27" t="inlineStr">
        <x:is>
          <x:t xml:space="preserve"/>
        </x:is>
      </x:c>
    </x:row>
    <x:row r="6">
      <x:c r="A6" s="3" t="inlineStr">
        <x:is>
          <x:t xml:space="preserve">Number of Tiers</x:t>
        </x:is>
      </x:c>
      <x:c r="B6" s="27" t="inlineStr">
        <x:is>
          <x:t xml:space="preserve"/>
        </x:is>
      </x:c>
    </x:row>
    <x:row r="8">
      <x:c r="A8" s="5" t="inlineStr">
        <x:is>
          <x:t xml:space="preserve">Tier Costing</x:t>
        </x:is>
      </x:c>
    </x:row>
    <x:row r="9">
      <x:c r="A9" s="6" t="inlineStr">
        <x:is>
          <x:t xml:space="preserve">Tier / Size</x:t>
        </x:is>
      </x:c>
      <x:c r="B9" s="6" t="inlineStr">
        <x:is>
          <x:t xml:space="preserve">Qty</x:t>
        </x:is>
      </x:c>
      <x:c r="C9" s="6" t="inlineStr">
        <x:is>
          <x:t xml:space="preserve">Cost / Tier</x:t>
        </x:is>
      </x:c>
      <x:c r="D9" s="6" t="inlineStr">
        <x:is>
          <x:t xml:space="preserve">Total Cost</x:t>
        </x:is>
      </x:c>
      <x:c r="E9" s="6" t="inlineStr">
        <x:is>
          <x:t xml:space="preserve">Notes</x:t>
        </x:is>
      </x:c>
    </x:row>
    <x:row r="10">
      <x:c r="A10" s="4" t="inlineStr">
        <x:is>
          <x:t xml:space="preserve"/>
        </x:is>
      </x:c>
      <x:c r="B10" s="28" t="inlineStr">
        <x:is>
          <x:t xml:space="preserve"/>
        </x:is>
      </x:c>
      <x:c r="C10" s="9" t="inlineStr">
        <x:is>
          <x:t xml:space="preserve"/>
        </x:is>
      </x:c>
      <x:c r="D10" s="10">
        <x:f>IF(OR(B10="",C10=""),"",B10*C10)</x:f>
      </x:c>
      <x:c r="E10" s="4" t="inlineStr">
        <x:is>
          <x:t xml:space="preserve"/>
        </x:is>
      </x:c>
    </x:row>
    <x:row r="11">
      <x:c r="A11" s="4" t="inlineStr">
        <x:is>
          <x:t xml:space="preserve"/>
        </x:is>
      </x:c>
      <x:c r="B11" s="28" t="inlineStr">
        <x:is>
          <x:t xml:space="preserve"/>
        </x:is>
      </x:c>
      <x:c r="C11" s="9" t="inlineStr">
        <x:is>
          <x:t xml:space="preserve"/>
        </x:is>
      </x:c>
      <x:c r="D11" s="10">
        <x:f>IF(OR(B11="",C11=""),"",B11*C11)</x:f>
      </x:c>
      <x:c r="E11" s="4" t="inlineStr">
        <x:is>
          <x:t xml:space="preserve"/>
        </x:is>
      </x:c>
    </x:row>
    <x:row r="12">
      <x:c r="A12" s="4" t="inlineStr">
        <x:is>
          <x:t xml:space="preserve"/>
        </x:is>
      </x:c>
      <x:c r="B12" s="28" t="inlineStr">
        <x:is>
          <x:t xml:space="preserve"/>
        </x:is>
      </x:c>
      <x:c r="C12" s="9" t="inlineStr">
        <x:is>
          <x:t xml:space="preserve"/>
        </x:is>
      </x:c>
      <x:c r="D12" s="10">
        <x:f>IF(OR(B12="",C12=""),"",B12*C12)</x:f>
      </x:c>
      <x:c r="E12" s="4" t="inlineStr">
        <x:is>
          <x:t xml:space="preserve"/>
        </x:is>
      </x:c>
    </x:row>
    <x:row r="13">
      <x:c r="A13" s="4" t="inlineStr">
        <x:is>
          <x:t xml:space="preserve"/>
        </x:is>
      </x:c>
      <x:c r="B13" s="28" t="inlineStr">
        <x:is>
          <x:t xml:space="preserve"/>
        </x:is>
      </x:c>
      <x:c r="C13" s="9" t="inlineStr">
        <x:is>
          <x:t xml:space="preserve"/>
        </x:is>
      </x:c>
      <x:c r="D13" s="10">
        <x:f>IF(OR(B13="",C13=""),"",B13*C13)</x:f>
      </x:c>
      <x:c r="E13" s="4" t="inlineStr">
        <x:is>
          <x:t xml:space="preserve"/>
        </x:is>
      </x:c>
    </x:row>
    <x:row r="14">
      <x:c r="A14" s="4" t="inlineStr">
        <x:is>
          <x:t xml:space="preserve"/>
        </x:is>
      </x:c>
      <x:c r="B14" s="28" t="inlineStr">
        <x:is>
          <x:t xml:space="preserve"/>
        </x:is>
      </x:c>
      <x:c r="C14" s="9" t="inlineStr">
        <x:is>
          <x:t xml:space="preserve"/>
        </x:is>
      </x:c>
      <x:c r="D14" s="10">
        <x:f>IF(OR(B14="",C14=""),"",B14*C14)</x:f>
      </x:c>
      <x:c r="E14" s="4" t="inlineStr">
        <x:is>
          <x:t xml:space="preserve"/>
        </x:is>
      </x:c>
    </x:row>
    <x:row r="15">
      <x:c r="A15" s="4" t="inlineStr">
        <x:is>
          <x:t xml:space="preserve"/>
        </x:is>
      </x:c>
      <x:c r="B15" s="28" t="inlineStr">
        <x:is>
          <x:t xml:space="preserve"/>
        </x:is>
      </x:c>
      <x:c r="C15" s="9" t="inlineStr">
        <x:is>
          <x:t xml:space="preserve"/>
        </x:is>
      </x:c>
      <x:c r="D15" s="10">
        <x:f>IF(OR(B15="",C15=""),"",B15*C15)</x:f>
      </x:c>
      <x:c r="E15" s="4" t="inlineStr">
        <x:is>
          <x:t xml:space="preserve"/>
        </x:is>
      </x:c>
    </x:row>
    <x:row r="16">
      <x:c r="A16" s="4" t="inlineStr">
        <x:is>
          <x:t xml:space="preserve"/>
        </x:is>
      </x:c>
      <x:c r="B16" s="28" t="inlineStr">
        <x:is>
          <x:t xml:space="preserve"/>
        </x:is>
      </x:c>
      <x:c r="C16" s="9" t="inlineStr">
        <x:is>
          <x:t xml:space="preserve"/>
        </x:is>
      </x:c>
      <x:c r="D16" s="10">
        <x:f>IF(OR(B16="",C16=""),"",B16*C16)</x:f>
      </x:c>
      <x:c r="E16" s="4" t="inlineStr">
        <x:is>
          <x:t xml:space="preserve"/>
        </x:is>
      </x:c>
    </x:row>
    <x:row r="17">
      <x:c r="A17" s="4" t="inlineStr">
        <x:is>
          <x:t xml:space="preserve"/>
        </x:is>
      </x:c>
      <x:c r="B17" s="28" t="inlineStr">
        <x:is>
          <x:t xml:space="preserve"/>
        </x:is>
      </x:c>
      <x:c r="C17" s="9" t="inlineStr">
        <x:is>
          <x:t xml:space="preserve"/>
        </x:is>
      </x:c>
      <x:c r="D17" s="10">
        <x:f>IF(OR(B17="",C17=""),"",B17*C17)</x:f>
      </x:c>
      <x:c r="E17" s="4" t="inlineStr">
        <x:is>
          <x:t xml:space="preserve"/>
        </x:is>
      </x:c>
    </x:row>
    <x:row r="18">
      <x:c r="D18" s="11" t="inlineStr">
        <x:is>
          <x:t xml:space="preserve">Tiers Total</x:t>
        </x:is>
      </x:c>
      <x:c r="E18" s="12">
        <x:f>IF(COUNTA(B10:C17)=0,"",SUM(D10:D17))</x:f>
      </x:c>
    </x:row>
    <x:row r="20">
      <x:c r="A20" s="5" t="inlineStr">
        <x:is>
          <x:t xml:space="preserve">Extras / Add-ons</x:t>
        </x:is>
      </x:c>
    </x:row>
    <x:row r="21">
      <x:c r="A21" s="6" t="inlineStr">
        <x:is>
          <x:t xml:space="preserve">Extra Item</x:t>
        </x:is>
      </x:c>
      <x:c r="B21" s="6" t="inlineStr">
        <x:is>
          <x:t xml:space="preserve">Qty</x:t>
        </x:is>
      </x:c>
      <x:c r="C21" s="6" t="inlineStr">
        <x:is>
          <x:t xml:space="preserve">Cost</x:t>
        </x:is>
      </x:c>
      <x:c r="D21" s="6" t="inlineStr">
        <x:is>
          <x:t xml:space="preserve">Total Cost</x:t>
        </x:is>
      </x:c>
      <x:c r="E21" s="6" t="inlineStr">
        <x:is>
          <x:t xml:space="preserve">Notes</x:t>
        </x:is>
      </x:c>
    </x:row>
    <x:row r="22">
      <x:c r="A22" s="4" t="inlineStr">
        <x:is>
          <x:t xml:space="preserve"/>
        </x:is>
      </x:c>
      <x:c r="B22" s="28" t="inlineStr">
        <x:is>
          <x:t xml:space="preserve"/>
        </x:is>
      </x:c>
      <x:c r="C22" s="9" t="inlineStr">
        <x:is>
          <x:t xml:space="preserve"/>
        </x:is>
      </x:c>
      <x:c r="D22" s="10">
        <x:f>IF(OR(B22="",C22=""),"",B22*C22)</x:f>
      </x:c>
      <x:c r="E22" s="4" t="inlineStr">
        <x:is>
          <x:t xml:space="preserve"/>
        </x:is>
      </x:c>
    </x:row>
    <x:row r="23">
      <x:c r="A23" s="4" t="inlineStr">
        <x:is>
          <x:t xml:space="preserve"/>
        </x:is>
      </x:c>
      <x:c r="B23" s="28" t="inlineStr">
        <x:is>
          <x:t xml:space="preserve"/>
        </x:is>
      </x:c>
      <x:c r="C23" s="9" t="inlineStr">
        <x:is>
          <x:t xml:space="preserve"/>
        </x:is>
      </x:c>
      <x:c r="D23" s="10">
        <x:f>IF(OR(B23="",C23=""),"",B23*C23)</x:f>
      </x:c>
      <x:c r="E23" s="4" t="inlineStr">
        <x:is>
          <x:t xml:space="preserve"/>
        </x:is>
      </x:c>
    </x:row>
    <x:row r="24">
      <x:c r="A24" s="4" t="inlineStr">
        <x:is>
          <x:t xml:space="preserve"/>
        </x:is>
      </x:c>
      <x:c r="B24" s="28" t="inlineStr">
        <x:is>
          <x:t xml:space="preserve"/>
        </x:is>
      </x:c>
      <x:c r="C24" s="9" t="inlineStr">
        <x:is>
          <x:t xml:space="preserve"/>
        </x:is>
      </x:c>
      <x:c r="D24" s="10">
        <x:f>IF(OR(B24="",C24=""),"",B24*C24)</x:f>
      </x:c>
      <x:c r="E24" s="4" t="inlineStr">
        <x:is>
          <x:t xml:space="preserve"/>
        </x:is>
      </x:c>
    </x:row>
    <x:row r="25">
      <x:c r="A25" s="4" t="inlineStr">
        <x:is>
          <x:t xml:space="preserve"/>
        </x:is>
      </x:c>
      <x:c r="B25" s="28" t="inlineStr">
        <x:is>
          <x:t xml:space="preserve"/>
        </x:is>
      </x:c>
      <x:c r="C25" s="9" t="inlineStr">
        <x:is>
          <x:t xml:space="preserve"/>
        </x:is>
      </x:c>
      <x:c r="D25" s="10">
        <x:f>IF(OR(B25="",C25=""),"",B25*C25)</x:f>
      </x:c>
      <x:c r="E25" s="4" t="inlineStr">
        <x:is>
          <x:t xml:space="preserve"/>
        </x:is>
      </x:c>
    </x:row>
    <x:row r="26">
      <x:c r="A26" s="4" t="inlineStr">
        <x:is>
          <x:t xml:space="preserve"/>
        </x:is>
      </x:c>
      <x:c r="B26" s="28" t="inlineStr">
        <x:is>
          <x:t xml:space="preserve"/>
        </x:is>
      </x:c>
      <x:c r="C26" s="9" t="inlineStr">
        <x:is>
          <x:t xml:space="preserve"/>
        </x:is>
      </x:c>
      <x:c r="D26" s="10">
        <x:f>IF(OR(B26="",C26=""),"",B26*C26)</x:f>
      </x:c>
      <x:c r="E26" s="4" t="inlineStr">
        <x:is>
          <x:t xml:space="preserve"/>
        </x:is>
      </x:c>
    </x:row>
    <x:row r="27">
      <x:c r="A27" s="4" t="inlineStr">
        <x:is>
          <x:t xml:space="preserve"/>
        </x:is>
      </x:c>
      <x:c r="B27" s="28" t="inlineStr">
        <x:is>
          <x:t xml:space="preserve"/>
        </x:is>
      </x:c>
      <x:c r="C27" s="9" t="inlineStr">
        <x:is>
          <x:t xml:space="preserve"/>
        </x:is>
      </x:c>
      <x:c r="D27" s="10">
        <x:f>IF(OR(B27="",C27=""),"",B27*C27)</x:f>
      </x:c>
      <x:c r="E27" s="4" t="inlineStr">
        <x:is>
          <x:t xml:space="preserve"/>
        </x:is>
      </x:c>
    </x:row>
    <x:row r="28">
      <x:c r="D28" s="11" t="inlineStr">
        <x:is>
          <x:t xml:space="preserve">Extras Total</x:t>
        </x:is>
      </x:c>
      <x:c r="E28" s="12">
        <x:f>IF(COUNTA(B22:C27)=0,"",SUM(D22:D27))</x:f>
      </x:c>
    </x:row>
    <x:row r="30">
      <x:c r="D30" s="13" t="inlineStr">
        <x:is>
          <x:t xml:space="preserve">TOTAL WEDDING COST</x:t>
        </x:is>
      </x:c>
      <x:c r="E30" s="12">
        <x:f>IF(AND(E18="",E28=""),"",E18+E28)</x:f>
      </x:c>
    </x:row>
    <x:row r="32">
      <x:c r="A32" s="5" t="inlineStr">
        <x:is>
          <x:t xml:space="preserve">Pricing &amp; Profit</x:t>
        </x:is>
      </x:c>
    </x:row>
    <x:row r="33">
      <x:c r="A33" s="16" t="inlineStr">
        <x:is>
          <x:t xml:space="preserve">Markup %</x:t>
        </x:is>
      </x:c>
      <x:c r="B33" s="17" t="inlineStr">
        <x:is>
          <x:t xml:space="preserve"/>
        </x:is>
      </x:c>
    </x:row>
    <x:row r="34">
      <x:c r="A34" s="16" t="inlineStr">
        <x:is>
          <x:t xml:space="preserve">Target Profit (UGX)</x:t>
        </x:is>
      </x:c>
      <x:c r="B34" s="9" t="inlineStr">
        <x:is>
          <x:t xml:space="preserve"/>
        </x:is>
      </x:c>
    </x:row>
    <x:row r="35">
      <x:c r="A35" s="16" t="inlineStr">
        <x:is>
          <x:t xml:space="preserve">Target Profit Margin %</x:t>
        </x:is>
      </x:c>
      <x:c r="B35" s="17" t="inlineStr">
        <x:is>
          <x:t xml:space="preserve"/>
        </x:is>
      </x:c>
    </x:row>
    <x:row r="36">
      <x:c r="A36" s="16" t="inlineStr">
        <x:is>
          <x:t xml:space="preserve">Pricing Mode</x:t>
        </x:is>
      </x:c>
      <x:c r="B36" s="24" t="inlineStr">
        <x:is>
          <x:t xml:space="preserve"/>
        </x:is>
      </x:c>
    </x:row>
    <x:row r="37">
      <x:c r="A37" s="16" t="inlineStr">
        <x:is>
          <x:t xml:space="preserve">Auto Recommended Price</x:t>
        </x:is>
      </x:c>
      <x:c r="B37" s="18">
        <x:f>IF($E$30="","",   IF(MAX(      IF($B$33="",0,$E$30*(1+$B$33)),      IF($B$34="",0,$E$30+$B$34),      IF(OR($B$35="", $B$35&gt;=1),0,$E$30/(1-$B$35))   )=0,"",   MAX(      IF($B$33="",0,$E$30*(1+$B$33)),      IF($B$34="",0,$E$30+$B$34),      IF(OR($B$35="", $B$35&gt;=1),0,$E$30/(1-$B$35))   )))</x:f>
      </x:c>
    </x:row>
    <x:row r="38">
      <x:c r="A38" s="16" t="inlineStr">
        <x:is>
          <x:t xml:space="preserve">Selling Price (Chosen)</x:t>
        </x:is>
      </x:c>
      <x:c r="B38" s="18">
        <x:f>IF($E$30="","",   IF($B$36="",      $E$30*(1+IF($B$33="",0,$B$33)),      IF($B$36="Auto (recommended)",         $B$37,         IF($B$36="Markup %",            IF($B$33="","",$E$30*(1+$B$33)),            IF($B$36="Target Profit (UGX)",               IF($B$34="","",$E$30+$B$34),               IF($B$36="Target Margin %",                  IF(OR($B$35="", $B$35&gt;=1),"",$E$30/(1-$B$35)),                  $E$30*(1+IF($B$33="",0,$B$33))               )            )         )      )   ))</x:f>
      </x:c>
    </x:row>
    <x:row r="39">
      <x:c r="A39" s="16" t="inlineStr">
        <x:is>
          <x:t xml:space="preserve">Profit</x:t>
        </x:is>
      </x:c>
      <x:c r="B39" s="18">
        <x:f>IF(OR($B$38="",$E$30=""),"",$B$38-$E$30)</x:f>
      </x:c>
    </x:row>
    <x:row r="40">
      <x:c r="A40" s="16" t="inlineStr">
        <x:is>
          <x:t xml:space="preserve">Profit Margin %</x:t>
        </x:is>
      </x:c>
      <x:c r="B40" s="19">
        <x:f>IFERROR($B$39/$B$38,"")</x:f>
      </x:c>
    </x:row>
    <x:row r="41">
      <x:c r="A41" s="16" t="inlineStr">
        <x:is>
          <x:t xml:space="preserve">Price per Guest</x:t>
        </x:is>
      </x:c>
      <x:c r="B41" s="18">
        <x:f>IF($B$5="","",$B$38/$B$5)</x:f>
      </x:c>
    </x:row>
    <x:row r="42">
      <x:c r="A42" s="16" t="inlineStr">
        <x:is>
          <x:t xml:space="preserve">Profit per Guest</x:t>
        </x:is>
      </x:c>
      <x:c r="B42" s="18">
        <x:f>IF($B$5="","",$B$39/$B$5)</x:f>
      </x:c>
    </x:row>
  </x:sheetData>
  <x:mergeCells>
    <x:mergeCell ref="A20:E20"/>
    <x:mergeCell ref="A2:E2"/>
    <x:mergeCell ref="A1:E1"/>
    <x:mergeCell ref="A32:E32"/>
    <x:mergeCell ref="A8:E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26" customWidth="1"/>
    <x:col min="3" max="3" width="10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2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2" customWidth="1"/>
  </x:cols>
  <x:sheetData>
    <x:row r="1">
      <x:c r="A1" s="1" t="inlineStr">
        <x:is>
          <x:t xml:space="preserve">Monthly Profit Summary</x:t>
        </x:is>
      </x:c>
    </x:row>
    <x:row r="2">
      <x:c r="A2" s="2" t="n"/>
    </x:row>
    <x:row r="3">
      <x:c r="J3" s="16" t="inlineStr">
        <x:is>
          <x:t xml:space="preserve">Year</x:t>
        </x:is>
      </x:c>
      <x:c r="K3" s="28" t="n">
        <x:v>2025</x:v>
      </x:c>
    </x:row>
    <x:row r="5">
      <x:c r="A5" s="5" t="inlineStr">
        <x:is>
          <x:t xml:space="preserve">Sales Log</x:t>
        </x:is>
      </x:c>
      <x:c r="J5" s="5" t="inlineStr">
        <x:is>
          <x:t xml:space="preserve">Monthly Summary</x:t>
        </x:is>
      </x:c>
    </x:row>
    <x:row r="6">
      <x:c r="A6" s="6" t="inlineStr">
        <x:is>
          <x:t xml:space="preserve">Date</x:t>
        </x:is>
      </x:c>
      <x:c r="B6" s="6" t="inlineStr">
        <x:is>
          <x:t xml:space="preserve">Product</x:t>
        </x:is>
      </x:c>
      <x:c r="C6" s="6" t="inlineStr">
        <x:is>
          <x:t xml:space="preserve">Units Sold</x:t>
        </x:is>
      </x:c>
      <x:c r="D6" s="6" t="inlineStr">
        <x:is>
          <x:t xml:space="preserve">Selling Price / Unit</x:t>
        </x:is>
      </x:c>
      <x:c r="E6" s="6" t="inlineStr">
        <x:is>
          <x:t xml:space="preserve">Cost / Unit</x:t>
        </x:is>
      </x:c>
      <x:c r="F6" s="6" t="inlineStr">
        <x:is>
          <x:t xml:space="preserve">Revenue</x:t>
        </x:is>
      </x:c>
      <x:c r="G6" s="6" t="inlineStr">
        <x:is>
          <x:t xml:space="preserve">Total Cost</x:t>
        </x:is>
      </x:c>
      <x:c r="H6" s="6" t="inlineStr">
        <x:is>
          <x:t xml:space="preserve">Profit</x:t>
        </x:is>
      </x:c>
      <x:c r="J6" s="6" t="inlineStr">
        <x:is>
          <x:t xml:space="preserve">Month</x:t>
        </x:is>
      </x:c>
      <x:c r="K6" s="6" t="inlineStr">
        <x:is>
          <x:t xml:space="preserve">Revenue</x:t>
        </x:is>
      </x:c>
      <x:c r="L6" s="6" t="inlineStr">
        <x:is>
          <x:t xml:space="preserve">Cost</x:t>
        </x:is>
      </x:c>
      <x:c r="M6" s="6" t="inlineStr">
        <x:is>
          <x:t xml:space="preserve">Profit</x:t>
        </x:is>
      </x:c>
      <x:c r="N6" s="6" t="inlineStr">
        <x:is>
          <x:t xml:space="preserve">Margin %</x:t>
        </x:is>
      </x:c>
    </x:row>
    <x:row r="7">
      <x:c r="A7" s="29" t="inlineStr">
        <x:is>
          <x:t xml:space="preserve"/>
        </x:is>
      </x:c>
      <x:c r="B7" s="24" t="inlineStr">
        <x:is>
          <x:t xml:space="preserve"/>
        </x:is>
      </x:c>
      <x:c r="C7" s="28" t="inlineStr">
        <x:is>
          <x:t xml:space="preserve"/>
        </x:is>
      </x:c>
      <x:c r="D7" s="9" t="inlineStr">
        <x:is>
          <x:t xml:space="preserve"/>
        </x:is>
      </x:c>
      <x:c r="E7" s="9" t="inlineStr">
        <x:is>
          <x:t xml:space="preserve"/>
        </x:is>
      </x:c>
      <x:c r="F7" s="18">
        <x:f>IF(OR(C7="",D7=""),"",C7*D7)</x:f>
      </x:c>
      <x:c r="G7" s="18">
        <x:f>IF(OR(C7="",E7=""),"",C7*E7)</x:f>
      </x:c>
      <x:c r="H7" s="18">
        <x:f>IF(OR(F7="",G7=""),"",F7-G7)</x:f>
      </x:c>
      <x:c r="I7" s="30">
        <x:f>IF(A7="","",DATE(YEAR(A7),MONTH(A7),1))</x:f>
      </x:c>
      <x:c r="J7" s="31">
        <x:f>DATE($K$3,1,1)</x:f>
        <x:v>45658</x:v>
      </x:c>
      <x:c r="K7" s="18">
        <x:f>IF(SUMIF($I$7:$I$206,$J7,$F$7:$F$206)=0,"",SUMIF($I$7:$I$206,$J7,$F$7:$F$206))</x:f>
      </x:c>
      <x:c r="L7" s="18">
        <x:f>IF(SUMIF($I$7:$I$206,$J7,$G$7:$G$206)=0,"",SUMIF($I$7:$I$206,$J7,$G$7:$G$206))</x:f>
      </x:c>
      <x:c r="M7" s="18">
        <x:f>IF(K7="","",K7-L7)</x:f>
      </x:c>
      <x:c r="N7" s="19">
        <x:f>IFERROR(M7/K7,"")</x:f>
      </x:c>
    </x:row>
    <x:row r="8">
      <x:c r="A8" s="29" t="inlineStr">
        <x:is>
          <x:t xml:space="preserve"/>
        </x:is>
      </x:c>
      <x:c r="B8" s="24" t="inlineStr">
        <x:is>
          <x:t xml:space="preserve"/>
        </x:is>
      </x:c>
      <x:c r="C8" s="28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18">
        <x:f>IF(OR(C8="",D8=""),"",C8*D8)</x:f>
      </x:c>
      <x:c r="G8" s="18">
        <x:f>IF(OR(C8="",E8=""),"",C8*E8)</x:f>
      </x:c>
      <x:c r="H8" s="18">
        <x:f>IF(OR(F8="",G8=""),"",F8-G8)</x:f>
      </x:c>
      <x:c r="I8" s="30">
        <x:f>IF(A8="","",DATE(YEAR(A8),MONTH(A8),1))</x:f>
      </x:c>
      <x:c r="J8" s="31">
        <x:f>DATE($K$3,2,1)</x:f>
        <x:v>45689</x:v>
      </x:c>
      <x:c r="K8" s="18">
        <x:f>IF(SUMIF($I$7:$I$206,$J8,$F$7:$F$206)=0,"",SUMIF($I$7:$I$206,$J8,$F$7:$F$206))</x:f>
      </x:c>
      <x:c r="L8" s="18">
        <x:f>IF(SUMIF($I$7:$I$206,$J8,$G$7:$G$206)=0,"",SUMIF($I$7:$I$206,$J8,$G$7:$G$206))</x:f>
      </x:c>
      <x:c r="M8" s="18">
        <x:f>IF(K8="","",K8-L8)</x:f>
      </x:c>
      <x:c r="N8" s="19">
        <x:f>IFERROR(M8/K8,"")</x:f>
      </x:c>
    </x:row>
    <x:row r="9">
      <x:c r="A9" s="29" t="inlineStr">
        <x:is>
          <x:t xml:space="preserve"/>
        </x:is>
      </x:c>
      <x:c r="B9" s="24" t="inlineStr">
        <x:is>
          <x:t xml:space="preserve"/>
        </x:is>
      </x:c>
      <x:c r="C9" s="28" t="inlineStr">
        <x:is>
          <x:t xml:space="preserve"/>
        </x:is>
      </x:c>
      <x:c r="D9" s="9" t="inlineStr">
        <x:is>
          <x:t xml:space="preserve"/>
        </x:is>
      </x:c>
      <x:c r="E9" s="9" t="inlineStr">
        <x:is>
          <x:t xml:space="preserve"/>
        </x:is>
      </x:c>
      <x:c r="F9" s="18">
        <x:f>IF(OR(C9="",D9=""),"",C9*D9)</x:f>
      </x:c>
      <x:c r="G9" s="18">
        <x:f>IF(OR(C9="",E9=""),"",C9*E9)</x:f>
      </x:c>
      <x:c r="H9" s="18">
        <x:f>IF(OR(F9="",G9=""),"",F9-G9)</x:f>
      </x:c>
      <x:c r="I9" s="30">
        <x:f>IF(A9="","",DATE(YEAR(A9),MONTH(A9),1))</x:f>
      </x:c>
      <x:c r="J9" s="31">
        <x:f>DATE($K$3,3,1)</x:f>
        <x:v>45717</x:v>
      </x:c>
      <x:c r="K9" s="18">
        <x:f>IF(SUMIF($I$7:$I$206,$J9,$F$7:$F$206)=0,"",SUMIF($I$7:$I$206,$J9,$F$7:$F$206))</x:f>
      </x:c>
      <x:c r="L9" s="18">
        <x:f>IF(SUMIF($I$7:$I$206,$J9,$G$7:$G$206)=0,"",SUMIF($I$7:$I$206,$J9,$G$7:$G$206))</x:f>
      </x:c>
      <x:c r="M9" s="18">
        <x:f>IF(K9="","",K9-L9)</x:f>
      </x:c>
      <x:c r="N9" s="19">
        <x:f>IFERROR(M9/K9,"")</x:f>
      </x:c>
    </x:row>
    <x:row r="10">
      <x:c r="A10" s="29" t="inlineStr">
        <x:is>
          <x:t xml:space="preserve"/>
        </x:is>
      </x:c>
      <x:c r="B10" s="24" t="inlineStr">
        <x:is>
          <x:t xml:space="preserve"/>
        </x:is>
      </x:c>
      <x:c r="C10" s="28" t="inlineStr">
        <x:is>
          <x:t xml:space="preserve"/>
        </x:is>
      </x:c>
      <x:c r="D10" s="9" t="inlineStr">
        <x:is>
          <x:t xml:space="preserve"/>
        </x:is>
      </x:c>
      <x:c r="E10" s="9" t="inlineStr">
        <x:is>
          <x:t xml:space="preserve"/>
        </x:is>
      </x:c>
      <x:c r="F10" s="18">
        <x:f>IF(OR(C10="",D10=""),"",C10*D10)</x:f>
      </x:c>
      <x:c r="G10" s="18">
        <x:f>IF(OR(C10="",E10=""),"",C10*E10)</x:f>
      </x:c>
      <x:c r="H10" s="18">
        <x:f>IF(OR(F10="",G10=""),"",F10-G10)</x:f>
      </x:c>
      <x:c r="I10" s="30">
        <x:f>IF(A10="","",DATE(YEAR(A10),MONTH(A10),1))</x:f>
      </x:c>
      <x:c r="J10" s="31">
        <x:f>DATE($K$3,4,1)</x:f>
        <x:v>45748</x:v>
      </x:c>
      <x:c r="K10" s="18">
        <x:f>IF(SUMIF($I$7:$I$206,$J10,$F$7:$F$206)=0,"",SUMIF($I$7:$I$206,$J10,$F$7:$F$206))</x:f>
      </x:c>
      <x:c r="L10" s="18">
        <x:f>IF(SUMIF($I$7:$I$206,$J10,$G$7:$G$206)=0,"",SUMIF($I$7:$I$206,$J10,$G$7:$G$206))</x:f>
      </x:c>
      <x:c r="M10" s="18">
        <x:f>IF(K10="","",K10-L10)</x:f>
      </x:c>
      <x:c r="N10" s="19">
        <x:f>IFERROR(M10/K10,"")</x:f>
      </x:c>
    </x:row>
    <x:row r="11">
      <x:c r="A11" s="29" t="inlineStr">
        <x:is>
          <x:t xml:space="preserve"/>
        </x:is>
      </x:c>
      <x:c r="B11" s="24" t="inlineStr">
        <x:is>
          <x:t xml:space="preserve"/>
        </x:is>
      </x:c>
      <x:c r="C11" s="28" t="inlineStr">
        <x:is>
          <x:t xml:space="preserve"/>
        </x:is>
      </x:c>
      <x:c r="D11" s="9" t="inlineStr">
        <x:is>
          <x:t xml:space="preserve"/>
        </x:is>
      </x:c>
      <x:c r="E11" s="9" t="inlineStr">
        <x:is>
          <x:t xml:space="preserve"/>
        </x:is>
      </x:c>
      <x:c r="F11" s="18">
        <x:f>IF(OR(C11="",D11=""),"",C11*D11)</x:f>
      </x:c>
      <x:c r="G11" s="18">
        <x:f>IF(OR(C11="",E11=""),"",C11*E11)</x:f>
      </x:c>
      <x:c r="H11" s="18">
        <x:f>IF(OR(F11="",G11=""),"",F11-G11)</x:f>
      </x:c>
      <x:c r="I11" s="30">
        <x:f>IF(A11="","",DATE(YEAR(A11),MONTH(A11),1))</x:f>
      </x:c>
      <x:c r="J11" s="31">
        <x:f>DATE($K$3,5,1)</x:f>
        <x:v>45778</x:v>
      </x:c>
      <x:c r="K11" s="18">
        <x:f>IF(SUMIF($I$7:$I$206,$J11,$F$7:$F$206)=0,"",SUMIF($I$7:$I$206,$J11,$F$7:$F$206))</x:f>
      </x:c>
      <x:c r="L11" s="18">
        <x:f>IF(SUMIF($I$7:$I$206,$J11,$G$7:$G$206)=0,"",SUMIF($I$7:$I$206,$J11,$G$7:$G$206))</x:f>
      </x:c>
      <x:c r="M11" s="18">
        <x:f>IF(K11="","",K11-L11)</x:f>
      </x:c>
      <x:c r="N11" s="19">
        <x:f>IFERROR(M11/K11,"")</x:f>
      </x:c>
    </x:row>
    <x:row r="12">
      <x:c r="A12" s="29" t="inlineStr">
        <x:is>
          <x:t xml:space="preserve"/>
        </x:is>
      </x:c>
      <x:c r="B12" s="24" t="inlineStr">
        <x:is>
          <x:t xml:space="preserve"/>
        </x:is>
      </x:c>
      <x:c r="C12" s="28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18">
        <x:f>IF(OR(C12="",D12=""),"",C12*D12)</x:f>
      </x:c>
      <x:c r="G12" s="18">
        <x:f>IF(OR(C12="",E12=""),"",C12*E12)</x:f>
      </x:c>
      <x:c r="H12" s="18">
        <x:f>IF(OR(F12="",G12=""),"",F12-G12)</x:f>
      </x:c>
      <x:c r="I12" s="30">
        <x:f>IF(A12="","",DATE(YEAR(A12),MONTH(A12),1))</x:f>
      </x:c>
      <x:c r="J12" s="31">
        <x:f>DATE($K$3,6,1)</x:f>
        <x:v>45809</x:v>
      </x:c>
      <x:c r="K12" s="18">
        <x:f>IF(SUMIF($I$7:$I$206,$J12,$F$7:$F$206)=0,"",SUMIF($I$7:$I$206,$J12,$F$7:$F$206))</x:f>
      </x:c>
      <x:c r="L12" s="18">
        <x:f>IF(SUMIF($I$7:$I$206,$J12,$G$7:$G$206)=0,"",SUMIF($I$7:$I$206,$J12,$G$7:$G$206))</x:f>
      </x:c>
      <x:c r="M12" s="18">
        <x:f>IF(K12="","",K12-L12)</x:f>
      </x:c>
      <x:c r="N12" s="19">
        <x:f>IFERROR(M12/K12,"")</x:f>
      </x:c>
    </x:row>
    <x:row r="13">
      <x:c r="A13" s="29" t="inlineStr">
        <x:is>
          <x:t xml:space="preserve"/>
        </x:is>
      </x:c>
      <x:c r="B13" s="24" t="inlineStr">
        <x:is>
          <x:t xml:space="preserve"/>
        </x:is>
      </x:c>
      <x:c r="C13" s="28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18">
        <x:f>IF(OR(C13="",D13=""),"",C13*D13)</x:f>
      </x:c>
      <x:c r="G13" s="18">
        <x:f>IF(OR(C13="",E13=""),"",C13*E13)</x:f>
      </x:c>
      <x:c r="H13" s="18">
        <x:f>IF(OR(F13="",G13=""),"",F13-G13)</x:f>
      </x:c>
      <x:c r="I13" s="30">
        <x:f>IF(A13="","",DATE(YEAR(A13),MONTH(A13),1))</x:f>
      </x:c>
      <x:c r="J13" s="31">
        <x:f>DATE($K$3,7,1)</x:f>
        <x:v>45839</x:v>
      </x:c>
      <x:c r="K13" s="18">
        <x:f>IF(SUMIF($I$7:$I$206,$J13,$F$7:$F$206)=0,"",SUMIF($I$7:$I$206,$J13,$F$7:$F$206))</x:f>
      </x:c>
      <x:c r="L13" s="18">
        <x:f>IF(SUMIF($I$7:$I$206,$J13,$G$7:$G$206)=0,"",SUMIF($I$7:$I$206,$J13,$G$7:$G$206))</x:f>
      </x:c>
      <x:c r="M13" s="18">
        <x:f>IF(K13="","",K13-L13)</x:f>
      </x:c>
      <x:c r="N13" s="19">
        <x:f>IFERROR(M13/K13,"")</x:f>
      </x:c>
    </x:row>
    <x:row r="14">
      <x:c r="A14" s="29" t="inlineStr">
        <x:is>
          <x:t xml:space="preserve"/>
        </x:is>
      </x:c>
      <x:c r="B14" s="24" t="inlineStr">
        <x:is>
          <x:t xml:space="preserve"/>
        </x:is>
      </x:c>
      <x:c r="C14" s="28" t="inlineStr">
        <x:is>
          <x:t xml:space="preserve"/>
        </x:is>
      </x:c>
      <x:c r="D14" s="9" t="inlineStr">
        <x:is>
          <x:t xml:space="preserve"/>
        </x:is>
      </x:c>
      <x:c r="E14" s="9" t="inlineStr">
        <x:is>
          <x:t xml:space="preserve"/>
        </x:is>
      </x:c>
      <x:c r="F14" s="18">
        <x:f>IF(OR(C14="",D14=""),"",C14*D14)</x:f>
      </x:c>
      <x:c r="G14" s="18">
        <x:f>IF(OR(C14="",E14=""),"",C14*E14)</x:f>
      </x:c>
      <x:c r="H14" s="18">
        <x:f>IF(OR(F14="",G14=""),"",F14-G14)</x:f>
      </x:c>
      <x:c r="I14" s="30">
        <x:f>IF(A14="","",DATE(YEAR(A14),MONTH(A14),1))</x:f>
      </x:c>
      <x:c r="J14" s="31">
        <x:f>DATE($K$3,8,1)</x:f>
        <x:v>45870</x:v>
      </x:c>
      <x:c r="K14" s="18">
        <x:f>IF(SUMIF($I$7:$I$206,$J14,$F$7:$F$206)=0,"",SUMIF($I$7:$I$206,$J14,$F$7:$F$206))</x:f>
      </x:c>
      <x:c r="L14" s="18">
        <x:f>IF(SUMIF($I$7:$I$206,$J14,$G$7:$G$206)=0,"",SUMIF($I$7:$I$206,$J14,$G$7:$G$206))</x:f>
      </x:c>
      <x:c r="M14" s="18">
        <x:f>IF(K14="","",K14-L14)</x:f>
      </x:c>
      <x:c r="N14" s="19">
        <x:f>IFERROR(M14/K14,"")</x:f>
      </x:c>
    </x:row>
    <x:row r="15">
      <x:c r="A15" s="29" t="inlineStr">
        <x:is>
          <x:t xml:space="preserve"/>
        </x:is>
      </x:c>
      <x:c r="B15" s="24" t="inlineStr">
        <x:is>
          <x:t xml:space="preserve"/>
        </x:is>
      </x:c>
      <x:c r="C15" s="28" t="inlineStr">
        <x:is>
          <x:t xml:space="preserve"/>
        </x:is>
      </x:c>
      <x:c r="D15" s="9" t="inlineStr">
        <x:is>
          <x:t xml:space="preserve"/>
        </x:is>
      </x:c>
      <x:c r="E15" s="9" t="inlineStr">
        <x:is>
          <x:t xml:space="preserve"/>
        </x:is>
      </x:c>
      <x:c r="F15" s="18">
        <x:f>IF(OR(C15="",D15=""),"",C15*D15)</x:f>
      </x:c>
      <x:c r="G15" s="18">
        <x:f>IF(OR(C15="",E15=""),"",C15*E15)</x:f>
      </x:c>
      <x:c r="H15" s="18">
        <x:f>IF(OR(F15="",G15=""),"",F15-G15)</x:f>
      </x:c>
      <x:c r="I15" s="30">
        <x:f>IF(A15="","",DATE(YEAR(A15),MONTH(A15),1))</x:f>
      </x:c>
      <x:c r="J15" s="31">
        <x:f>DATE($K$3,9,1)</x:f>
        <x:v>45901</x:v>
      </x:c>
      <x:c r="K15" s="18">
        <x:f>IF(SUMIF($I$7:$I$206,$J15,$F$7:$F$206)=0,"",SUMIF($I$7:$I$206,$J15,$F$7:$F$206))</x:f>
      </x:c>
      <x:c r="L15" s="18">
        <x:f>IF(SUMIF($I$7:$I$206,$J15,$G$7:$G$206)=0,"",SUMIF($I$7:$I$206,$J15,$G$7:$G$206))</x:f>
      </x:c>
      <x:c r="M15" s="18">
        <x:f>IF(K15="","",K15-L15)</x:f>
      </x:c>
      <x:c r="N15" s="19">
        <x:f>IFERROR(M15/K15,"")</x:f>
      </x:c>
    </x:row>
    <x:row r="16">
      <x:c r="A16" s="29" t="inlineStr">
        <x:is>
          <x:t xml:space="preserve"/>
        </x:is>
      </x:c>
      <x:c r="B16" s="24" t="inlineStr">
        <x:is>
          <x:t xml:space="preserve"/>
        </x:is>
      </x:c>
      <x:c r="C16" s="28" t="inlineStr">
        <x:is>
          <x:t xml:space="preserve"/>
        </x:is>
      </x:c>
      <x:c r="D16" s="9" t="inlineStr">
        <x:is>
          <x:t xml:space="preserve"/>
        </x:is>
      </x:c>
      <x:c r="E16" s="9" t="inlineStr">
        <x:is>
          <x:t xml:space="preserve"/>
        </x:is>
      </x:c>
      <x:c r="F16" s="18">
        <x:f>IF(OR(C16="",D16=""),"",C16*D16)</x:f>
      </x:c>
      <x:c r="G16" s="18">
        <x:f>IF(OR(C16="",E16=""),"",C16*E16)</x:f>
      </x:c>
      <x:c r="H16" s="18">
        <x:f>IF(OR(F16="",G16=""),"",F16-G16)</x:f>
      </x:c>
      <x:c r="I16" s="30">
        <x:f>IF(A16="","",DATE(YEAR(A16),MONTH(A16),1))</x:f>
      </x:c>
      <x:c r="J16" s="31">
        <x:f>DATE($K$3,10,1)</x:f>
        <x:v>45931</x:v>
      </x:c>
      <x:c r="K16" s="18">
        <x:f>IF(SUMIF($I$7:$I$206,$J16,$F$7:$F$206)=0,"",SUMIF($I$7:$I$206,$J16,$F$7:$F$206))</x:f>
      </x:c>
      <x:c r="L16" s="18">
        <x:f>IF(SUMIF($I$7:$I$206,$J16,$G$7:$G$206)=0,"",SUMIF($I$7:$I$206,$J16,$G$7:$G$206))</x:f>
      </x:c>
      <x:c r="M16" s="18">
        <x:f>IF(K16="","",K16-L16)</x:f>
      </x:c>
      <x:c r="N16" s="19">
        <x:f>IFERROR(M16/K16,"")</x:f>
      </x:c>
    </x:row>
    <x:row r="17">
      <x:c r="A17" s="29" t="inlineStr">
        <x:is>
          <x:t xml:space="preserve"/>
        </x:is>
      </x:c>
      <x:c r="B17" s="24" t="inlineStr">
        <x:is>
          <x:t xml:space="preserve"/>
        </x:is>
      </x:c>
      <x:c r="C17" s="28" t="inlineStr">
        <x:is>
          <x:t xml:space="preserve"/>
        </x:is>
      </x:c>
      <x:c r="D17" s="9" t="inlineStr">
        <x:is>
          <x:t xml:space="preserve"/>
        </x:is>
      </x:c>
      <x:c r="E17" s="9" t="inlineStr">
        <x:is>
          <x:t xml:space="preserve"/>
        </x:is>
      </x:c>
      <x:c r="F17" s="18">
        <x:f>IF(OR(C17="",D17=""),"",C17*D17)</x:f>
      </x:c>
      <x:c r="G17" s="18">
        <x:f>IF(OR(C17="",E17=""),"",C17*E17)</x:f>
      </x:c>
      <x:c r="H17" s="18">
        <x:f>IF(OR(F17="",G17=""),"",F17-G17)</x:f>
      </x:c>
      <x:c r="I17" s="30">
        <x:f>IF(A17="","",DATE(YEAR(A17),MONTH(A17),1))</x:f>
      </x:c>
      <x:c r="J17" s="31">
        <x:f>DATE($K$3,11,1)</x:f>
        <x:v>45962</x:v>
      </x:c>
      <x:c r="K17" s="18">
        <x:f>IF(SUMIF($I$7:$I$206,$J17,$F$7:$F$206)=0,"",SUMIF($I$7:$I$206,$J17,$F$7:$F$206))</x:f>
      </x:c>
      <x:c r="L17" s="18">
        <x:f>IF(SUMIF($I$7:$I$206,$J17,$G$7:$G$206)=0,"",SUMIF($I$7:$I$206,$J17,$G$7:$G$206))</x:f>
      </x:c>
      <x:c r="M17" s="18">
        <x:f>IF(K17="","",K17-L17)</x:f>
      </x:c>
      <x:c r="N17" s="19">
        <x:f>IFERROR(M17/K17,"")</x:f>
      </x:c>
    </x:row>
    <x:row r="18">
      <x:c r="A18" s="29" t="inlineStr">
        <x:is>
          <x:t xml:space="preserve"/>
        </x:is>
      </x:c>
      <x:c r="B18" s="24" t="inlineStr">
        <x:is>
          <x:t xml:space="preserve"/>
        </x:is>
      </x:c>
      <x:c r="C18" s="28" t="inlineStr">
        <x:is>
          <x:t xml:space="preserve"/>
        </x:is>
      </x:c>
      <x:c r="D18" s="9" t="inlineStr">
        <x:is>
          <x:t xml:space="preserve"/>
        </x:is>
      </x:c>
      <x:c r="E18" s="9" t="inlineStr">
        <x:is>
          <x:t xml:space="preserve"/>
        </x:is>
      </x:c>
      <x:c r="F18" s="18">
        <x:f>IF(OR(C18="",D18=""),"",C18*D18)</x:f>
      </x:c>
      <x:c r="G18" s="18">
        <x:f>IF(OR(C18="",E18=""),"",C18*E18)</x:f>
      </x:c>
      <x:c r="H18" s="18">
        <x:f>IF(OR(F18="",G18=""),"",F18-G18)</x:f>
      </x:c>
      <x:c r="I18" s="30">
        <x:f>IF(A18="","",DATE(YEAR(A18),MONTH(A18),1))</x:f>
      </x:c>
      <x:c r="J18" s="31">
        <x:f>DATE($K$3,12,1)</x:f>
        <x:v>45992</x:v>
      </x:c>
      <x:c r="K18" s="18">
        <x:f>IF(SUMIF($I$7:$I$206,$J18,$F$7:$F$206)=0,"",SUMIF($I$7:$I$206,$J18,$F$7:$F$206))</x:f>
      </x:c>
      <x:c r="L18" s="18">
        <x:f>IF(SUMIF($I$7:$I$206,$J18,$G$7:$G$206)=0,"",SUMIF($I$7:$I$206,$J18,$G$7:$G$206))</x:f>
      </x:c>
      <x:c r="M18" s="18">
        <x:f>IF(K18="","",K18-L18)</x:f>
      </x:c>
      <x:c r="N18" s="19">
        <x:f>IFERROR(M18/K18,"")</x:f>
      </x:c>
    </x:row>
    <x:row r="19">
      <x:c r="A19" s="29" t="inlineStr">
        <x:is>
          <x:t xml:space="preserve"/>
        </x:is>
      </x:c>
      <x:c r="B19" s="24" t="inlineStr">
        <x:is>
          <x:t xml:space="preserve"/>
        </x:is>
      </x:c>
      <x:c r="C19" s="28" t="inlineStr">
        <x:is>
          <x:t xml:space="preserve"/>
        </x:is>
      </x:c>
      <x:c r="D19" s="9" t="inlineStr">
        <x:is>
          <x:t xml:space="preserve"/>
        </x:is>
      </x:c>
      <x:c r="E19" s="9" t="inlineStr">
        <x:is>
          <x:t xml:space="preserve"/>
        </x:is>
      </x:c>
      <x:c r="F19" s="18">
        <x:f>IF(OR(C19="",D19=""),"",C19*D19)</x:f>
      </x:c>
      <x:c r="G19" s="18">
        <x:f>IF(OR(C19="",E19=""),"",C19*E19)</x:f>
      </x:c>
      <x:c r="H19" s="18">
        <x:f>IF(OR(F19="",G19=""),"",F19-G19)</x:f>
      </x:c>
      <x:c r="I19" s="30">
        <x:f>IF(A19="","",DATE(YEAR(A19),MONTH(A19),1))</x:f>
      </x:c>
      <x:c r="J19" s="13" t="inlineStr">
        <x:is>
          <x:t xml:space="preserve">TOTAL</x:t>
        </x:is>
      </x:c>
      <x:c r="K19" s="12">
        <x:f>SUM(K7:K18)</x:f>
        <x:v>0</x:v>
      </x:c>
      <x:c r="L19" s="12">
        <x:f>SUM(L7:L18)</x:f>
        <x:v>0</x:v>
      </x:c>
      <x:c r="M19" s="12">
        <x:f>SUM(M7:M18)</x:f>
        <x:v>0</x:v>
      </x:c>
      <x:c r="N19" s="19">
        <x:f>IFERROR(M19/K19,"")</x:f>
      </x:c>
    </x:row>
    <x:row r="20">
      <x:c r="A20" s="29" t="inlineStr">
        <x:is>
          <x:t xml:space="preserve"/>
        </x:is>
      </x:c>
      <x:c r="B20" s="24" t="inlineStr">
        <x:is>
          <x:t xml:space="preserve"/>
        </x:is>
      </x:c>
      <x:c r="C20" s="28" t="inlineStr">
        <x:is>
          <x:t xml:space="preserve"/>
        </x:is>
      </x:c>
      <x:c r="D20" s="9" t="inlineStr">
        <x:is>
          <x:t xml:space="preserve"/>
        </x:is>
      </x:c>
      <x:c r="E20" s="9" t="inlineStr">
        <x:is>
          <x:t xml:space="preserve"/>
        </x:is>
      </x:c>
      <x:c r="F20" s="18">
        <x:f>IF(OR(C20="",D20=""),"",C20*D20)</x:f>
      </x:c>
      <x:c r="G20" s="18">
        <x:f>IF(OR(C20="",E20=""),"",C20*E20)</x:f>
      </x:c>
      <x:c r="H20" s="18">
        <x:f>IF(OR(F20="",G20=""),"",F20-G20)</x:f>
      </x:c>
      <x:c r="I20" s="30">
        <x:f>IF(A20="","",DATE(YEAR(A20),MONTH(A20),1))</x:f>
      </x:c>
    </x:row>
    <x:row r="21">
      <x:c r="A21" s="29" t="inlineStr">
        <x:is>
          <x:t xml:space="preserve"/>
        </x:is>
      </x:c>
      <x:c r="B21" s="24" t="inlineStr">
        <x:is>
          <x:t xml:space="preserve"/>
        </x:is>
      </x:c>
      <x:c r="C21" s="28" t="inlineStr">
        <x:is>
          <x:t xml:space="preserve"/>
        </x:is>
      </x:c>
      <x:c r="D21" s="9" t="inlineStr">
        <x:is>
          <x:t xml:space="preserve"/>
        </x:is>
      </x:c>
      <x:c r="E21" s="9" t="inlineStr">
        <x:is>
          <x:t xml:space="preserve"/>
        </x:is>
      </x:c>
      <x:c r="F21" s="18">
        <x:f>IF(OR(C21="",D21=""),"",C21*D21)</x:f>
      </x:c>
      <x:c r="G21" s="18">
        <x:f>IF(OR(C21="",E21=""),"",C21*E21)</x:f>
      </x:c>
      <x:c r="H21" s="18">
        <x:f>IF(OR(F21="",G21=""),"",F21-G21)</x:f>
      </x:c>
      <x:c r="I21" s="30">
        <x:f>IF(A21="","",DATE(YEAR(A21),MONTH(A21),1))</x:f>
      </x:c>
    </x:row>
    <x:row r="22">
      <x:c r="A22" s="29" t="inlineStr">
        <x:is>
          <x:t xml:space="preserve"/>
        </x:is>
      </x:c>
      <x:c r="B22" s="24" t="inlineStr">
        <x:is>
          <x:t xml:space="preserve"/>
        </x:is>
      </x:c>
      <x:c r="C22" s="28" t="inlineStr">
        <x:is>
          <x:t xml:space="preserve"/>
        </x:is>
      </x:c>
      <x:c r="D22" s="9" t="inlineStr">
        <x:is>
          <x:t xml:space="preserve"/>
        </x:is>
      </x:c>
      <x:c r="E22" s="9" t="inlineStr">
        <x:is>
          <x:t xml:space="preserve"/>
        </x:is>
      </x:c>
      <x:c r="F22" s="18">
        <x:f>IF(OR(C22="",D22=""),"",C22*D22)</x:f>
      </x:c>
      <x:c r="G22" s="18">
        <x:f>IF(OR(C22="",E22=""),"",C22*E22)</x:f>
      </x:c>
      <x:c r="H22" s="18">
        <x:f>IF(OR(F22="",G22=""),"",F22-G22)</x:f>
      </x:c>
      <x:c r="I22" s="30">
        <x:f>IF(A22="","",DATE(YEAR(A22),MONTH(A22),1))</x:f>
      </x:c>
    </x:row>
    <x:row r="23">
      <x:c r="A23" s="29" t="inlineStr">
        <x:is>
          <x:t xml:space="preserve"/>
        </x:is>
      </x:c>
      <x:c r="B23" s="24" t="inlineStr">
        <x:is>
          <x:t xml:space="preserve"/>
        </x:is>
      </x:c>
      <x:c r="C23" s="28" t="inlineStr">
        <x:is>
          <x:t xml:space="preserve"/>
        </x:is>
      </x:c>
      <x:c r="D23" s="9" t="inlineStr">
        <x:is>
          <x:t xml:space="preserve"/>
        </x:is>
      </x:c>
      <x:c r="E23" s="9" t="inlineStr">
        <x:is>
          <x:t xml:space="preserve"/>
        </x:is>
      </x:c>
      <x:c r="F23" s="18">
        <x:f>IF(OR(C23="",D23=""),"",C23*D23)</x:f>
      </x:c>
      <x:c r="G23" s="18">
        <x:f>IF(OR(C23="",E23=""),"",C23*E23)</x:f>
      </x:c>
      <x:c r="H23" s="18">
        <x:f>IF(OR(F23="",G23=""),"",F23-G23)</x:f>
      </x:c>
      <x:c r="I23" s="30">
        <x:f>IF(A23="","",DATE(YEAR(A23),MONTH(A23),1))</x:f>
      </x:c>
    </x:row>
    <x:row r="24">
      <x:c r="A24" s="29" t="inlineStr">
        <x:is>
          <x:t xml:space="preserve"/>
        </x:is>
      </x:c>
      <x:c r="B24" s="24" t="inlineStr">
        <x:is>
          <x:t xml:space="preserve"/>
        </x:is>
      </x:c>
      <x:c r="C24" s="28" t="inlineStr">
        <x:is>
          <x:t xml:space="preserve"/>
        </x:is>
      </x:c>
      <x:c r="D24" s="9" t="inlineStr">
        <x:is>
          <x:t xml:space="preserve"/>
        </x:is>
      </x:c>
      <x:c r="E24" s="9" t="inlineStr">
        <x:is>
          <x:t xml:space="preserve"/>
        </x:is>
      </x:c>
      <x:c r="F24" s="18">
        <x:f>IF(OR(C24="",D24=""),"",C24*D24)</x:f>
      </x:c>
      <x:c r="G24" s="18">
        <x:f>IF(OR(C24="",E24=""),"",C24*E24)</x:f>
      </x:c>
      <x:c r="H24" s="18">
        <x:f>IF(OR(F24="",G24=""),"",F24-G24)</x:f>
      </x:c>
      <x:c r="I24" s="30">
        <x:f>IF(A24="","",DATE(YEAR(A24),MONTH(A24),1))</x:f>
      </x:c>
    </x:row>
    <x:row r="25">
      <x:c r="A25" s="29" t="inlineStr">
        <x:is>
          <x:t xml:space="preserve"/>
        </x:is>
      </x:c>
      <x:c r="B25" s="24" t="inlineStr">
        <x:is>
          <x:t xml:space="preserve"/>
        </x:is>
      </x:c>
      <x:c r="C25" s="28" t="inlineStr">
        <x:is>
          <x:t xml:space="preserve"/>
        </x:is>
      </x:c>
      <x:c r="D25" s="9" t="inlineStr">
        <x:is>
          <x:t xml:space="preserve"/>
        </x:is>
      </x:c>
      <x:c r="E25" s="9" t="inlineStr">
        <x:is>
          <x:t xml:space="preserve"/>
        </x:is>
      </x:c>
      <x:c r="F25" s="18">
        <x:f>IF(OR(C25="",D25=""),"",C25*D25)</x:f>
      </x:c>
      <x:c r="G25" s="18">
        <x:f>IF(OR(C25="",E25=""),"",C25*E25)</x:f>
      </x:c>
      <x:c r="H25" s="18">
        <x:f>IF(OR(F25="",G25=""),"",F25-G25)</x:f>
      </x:c>
      <x:c r="I25" s="30">
        <x:f>IF(A25="","",DATE(YEAR(A25),MONTH(A25),1))</x:f>
      </x:c>
    </x:row>
    <x:row r="26">
      <x:c r="A26" s="29" t="inlineStr">
        <x:is>
          <x:t xml:space="preserve"/>
        </x:is>
      </x:c>
      <x:c r="B26" s="24" t="inlineStr">
        <x:is>
          <x:t xml:space="preserve"/>
        </x:is>
      </x:c>
      <x:c r="C26" s="28" t="inlineStr">
        <x:is>
          <x:t xml:space="preserve"/>
        </x:is>
      </x:c>
      <x:c r="D26" s="9" t="inlineStr">
        <x:is>
          <x:t xml:space="preserve"/>
        </x:is>
      </x:c>
      <x:c r="E26" s="9" t="inlineStr">
        <x:is>
          <x:t xml:space="preserve"/>
        </x:is>
      </x:c>
      <x:c r="F26" s="18">
        <x:f>IF(OR(C26="",D26=""),"",C26*D26)</x:f>
      </x:c>
      <x:c r="G26" s="18">
        <x:f>IF(OR(C26="",E26=""),"",C26*E26)</x:f>
      </x:c>
      <x:c r="H26" s="18">
        <x:f>IF(OR(F26="",G26=""),"",F26-G26)</x:f>
      </x:c>
      <x:c r="I26" s="30">
        <x:f>IF(A26="","",DATE(YEAR(A26),MONTH(A26),1))</x:f>
      </x:c>
    </x:row>
    <x:row r="27">
      <x:c r="A27" s="29" t="inlineStr">
        <x:is>
          <x:t xml:space="preserve"/>
        </x:is>
      </x:c>
      <x:c r="B27" s="24" t="inlineStr">
        <x:is>
          <x:t xml:space="preserve"/>
        </x:is>
      </x:c>
      <x:c r="C27" s="28" t="inlineStr">
        <x:is>
          <x:t xml:space="preserve"/>
        </x:is>
      </x:c>
      <x:c r="D27" s="9" t="inlineStr">
        <x:is>
          <x:t xml:space="preserve"/>
        </x:is>
      </x:c>
      <x:c r="E27" s="9" t="inlineStr">
        <x:is>
          <x:t xml:space="preserve"/>
        </x:is>
      </x:c>
      <x:c r="F27" s="18">
        <x:f>IF(OR(C27="",D27=""),"",C27*D27)</x:f>
      </x:c>
      <x:c r="G27" s="18">
        <x:f>IF(OR(C27="",E27=""),"",C27*E27)</x:f>
      </x:c>
      <x:c r="H27" s="18">
        <x:f>IF(OR(F27="",G27=""),"",F27-G27)</x:f>
      </x:c>
      <x:c r="I27" s="30">
        <x:f>IF(A27="","",DATE(YEAR(A27),MONTH(A27),1))</x:f>
      </x:c>
    </x:row>
    <x:row r="28">
      <x:c r="A28" s="29" t="inlineStr">
        <x:is>
          <x:t xml:space="preserve"/>
        </x:is>
      </x:c>
      <x:c r="B28" s="24" t="inlineStr">
        <x:is>
          <x:t xml:space="preserve"/>
        </x:is>
      </x:c>
      <x:c r="C28" s="28" t="inlineStr">
        <x:is>
          <x:t xml:space="preserve"/>
        </x:is>
      </x:c>
      <x:c r="D28" s="9" t="inlineStr">
        <x:is>
          <x:t xml:space="preserve"/>
        </x:is>
      </x:c>
      <x:c r="E28" s="9" t="inlineStr">
        <x:is>
          <x:t xml:space="preserve"/>
        </x:is>
      </x:c>
      <x:c r="F28" s="18">
        <x:f>IF(OR(C28="",D28=""),"",C28*D28)</x:f>
      </x:c>
      <x:c r="G28" s="18">
        <x:f>IF(OR(C28="",E28=""),"",C28*E28)</x:f>
      </x:c>
      <x:c r="H28" s="18">
        <x:f>IF(OR(F28="",G28=""),"",F28-G28)</x:f>
      </x:c>
      <x:c r="I28" s="30">
        <x:f>IF(A28="","",DATE(YEAR(A28),MONTH(A28),1))</x:f>
      </x:c>
    </x:row>
    <x:row r="29">
      <x:c r="A29" s="29" t="inlineStr">
        <x:is>
          <x:t xml:space="preserve"/>
        </x:is>
      </x:c>
      <x:c r="B29" s="24" t="inlineStr">
        <x:is>
          <x:t xml:space="preserve"/>
        </x:is>
      </x:c>
      <x:c r="C29" s="28" t="inlineStr">
        <x:is>
          <x:t xml:space="preserve"/>
        </x:is>
      </x:c>
      <x:c r="D29" s="9" t="inlineStr">
        <x:is>
          <x:t xml:space="preserve"/>
        </x:is>
      </x:c>
      <x:c r="E29" s="9" t="inlineStr">
        <x:is>
          <x:t xml:space="preserve"/>
        </x:is>
      </x:c>
      <x:c r="F29" s="18">
        <x:f>IF(OR(C29="",D29=""),"",C29*D29)</x:f>
      </x:c>
      <x:c r="G29" s="18">
        <x:f>IF(OR(C29="",E29=""),"",C29*E29)</x:f>
      </x:c>
      <x:c r="H29" s="18">
        <x:f>IF(OR(F29="",G29=""),"",F29-G29)</x:f>
      </x:c>
      <x:c r="I29" s="30">
        <x:f>IF(A29="","",DATE(YEAR(A29),MONTH(A29),1))</x:f>
      </x:c>
    </x:row>
    <x:row r="30">
      <x:c r="A30" s="29" t="inlineStr">
        <x:is>
          <x:t xml:space="preserve"/>
        </x:is>
      </x:c>
      <x:c r="B30" s="24" t="inlineStr">
        <x:is>
          <x:t xml:space="preserve"/>
        </x:is>
      </x:c>
      <x:c r="C30" s="28" t="inlineStr">
        <x:is>
          <x:t xml:space="preserve"/>
        </x:is>
      </x:c>
      <x:c r="D30" s="9" t="inlineStr">
        <x:is>
          <x:t xml:space="preserve"/>
        </x:is>
      </x:c>
      <x:c r="E30" s="9" t="inlineStr">
        <x:is>
          <x:t xml:space="preserve"/>
        </x:is>
      </x:c>
      <x:c r="F30" s="18">
        <x:f>IF(OR(C30="",D30=""),"",C30*D30)</x:f>
      </x:c>
      <x:c r="G30" s="18">
        <x:f>IF(OR(C30="",E30=""),"",C30*E30)</x:f>
      </x:c>
      <x:c r="H30" s="18">
        <x:f>IF(OR(F30="",G30=""),"",F30-G30)</x:f>
      </x:c>
      <x:c r="I30" s="30">
        <x:f>IF(A30="","",DATE(YEAR(A30),MONTH(A30),1))</x:f>
      </x:c>
    </x:row>
    <x:row r="31">
      <x:c r="A31" s="29" t="inlineStr">
        <x:is>
          <x:t xml:space="preserve"/>
        </x:is>
      </x:c>
      <x:c r="B31" s="24" t="inlineStr">
        <x:is>
          <x:t xml:space="preserve"/>
        </x:is>
      </x:c>
      <x:c r="C31" s="28" t="inlineStr">
        <x:is>
          <x:t xml:space="preserve"/>
        </x:is>
      </x:c>
      <x:c r="D31" s="9" t="inlineStr">
        <x:is>
          <x:t xml:space="preserve"/>
        </x:is>
      </x:c>
      <x:c r="E31" s="9" t="inlineStr">
        <x:is>
          <x:t xml:space="preserve"/>
        </x:is>
      </x:c>
      <x:c r="F31" s="18">
        <x:f>IF(OR(C31="",D31=""),"",C31*D31)</x:f>
      </x:c>
      <x:c r="G31" s="18">
        <x:f>IF(OR(C31="",E31=""),"",C31*E31)</x:f>
      </x:c>
      <x:c r="H31" s="18">
        <x:f>IF(OR(F31="",G31=""),"",F31-G31)</x:f>
      </x:c>
      <x:c r="I31" s="30">
        <x:f>IF(A31="","",DATE(YEAR(A31),MONTH(A31),1))</x:f>
      </x:c>
    </x:row>
    <x:row r="32">
      <x:c r="A32" s="29" t="inlineStr">
        <x:is>
          <x:t xml:space="preserve"/>
        </x:is>
      </x:c>
      <x:c r="B32" s="24" t="inlineStr">
        <x:is>
          <x:t xml:space="preserve"/>
        </x:is>
      </x:c>
      <x:c r="C32" s="28" t="inlineStr">
        <x:is>
          <x:t xml:space="preserve"/>
        </x:is>
      </x:c>
      <x:c r="D32" s="9" t="inlineStr">
        <x:is>
          <x:t xml:space="preserve"/>
        </x:is>
      </x:c>
      <x:c r="E32" s="9" t="inlineStr">
        <x:is>
          <x:t xml:space="preserve"/>
        </x:is>
      </x:c>
      <x:c r="F32" s="18">
        <x:f>IF(OR(C32="",D32=""),"",C32*D32)</x:f>
      </x:c>
      <x:c r="G32" s="18">
        <x:f>IF(OR(C32="",E32=""),"",C32*E32)</x:f>
      </x:c>
      <x:c r="H32" s="18">
        <x:f>IF(OR(F32="",G32=""),"",F32-G32)</x:f>
      </x:c>
      <x:c r="I32" s="30">
        <x:f>IF(A32="","",DATE(YEAR(A32),MONTH(A32),1))</x:f>
      </x:c>
    </x:row>
    <x:row r="33">
      <x:c r="A33" s="29" t="inlineStr">
        <x:is>
          <x:t xml:space="preserve"/>
        </x:is>
      </x:c>
      <x:c r="B33" s="24" t="inlineStr">
        <x:is>
          <x:t xml:space="preserve"/>
        </x:is>
      </x:c>
      <x:c r="C33" s="28" t="inlineStr">
        <x:is>
          <x:t xml:space="preserve"/>
        </x:is>
      </x:c>
      <x:c r="D33" s="9" t="inlineStr">
        <x:is>
          <x:t xml:space="preserve"/>
        </x:is>
      </x:c>
      <x:c r="E33" s="9" t="inlineStr">
        <x:is>
          <x:t xml:space="preserve"/>
        </x:is>
      </x:c>
      <x:c r="F33" s="18">
        <x:f>IF(OR(C33="",D33=""),"",C33*D33)</x:f>
      </x:c>
      <x:c r="G33" s="18">
        <x:f>IF(OR(C33="",E33=""),"",C33*E33)</x:f>
      </x:c>
      <x:c r="H33" s="18">
        <x:f>IF(OR(F33="",G33=""),"",F33-G33)</x:f>
      </x:c>
      <x:c r="I33" s="30">
        <x:f>IF(A33="","",DATE(YEAR(A33),MONTH(A33),1))</x:f>
      </x:c>
    </x:row>
    <x:row r="34">
      <x:c r="A34" s="29" t="inlineStr">
        <x:is>
          <x:t xml:space="preserve"/>
        </x:is>
      </x:c>
      <x:c r="B34" s="24" t="inlineStr">
        <x:is>
          <x:t xml:space="preserve"/>
        </x:is>
      </x:c>
      <x:c r="C34" s="28" t="inlineStr">
        <x:is>
          <x:t xml:space="preserve"/>
        </x:is>
      </x:c>
      <x:c r="D34" s="9" t="inlineStr">
        <x:is>
          <x:t xml:space="preserve"/>
        </x:is>
      </x:c>
      <x:c r="E34" s="9" t="inlineStr">
        <x:is>
          <x:t xml:space="preserve"/>
        </x:is>
      </x:c>
      <x:c r="F34" s="18">
        <x:f>IF(OR(C34="",D34=""),"",C34*D34)</x:f>
      </x:c>
      <x:c r="G34" s="18">
        <x:f>IF(OR(C34="",E34=""),"",C34*E34)</x:f>
      </x:c>
      <x:c r="H34" s="18">
        <x:f>IF(OR(F34="",G34=""),"",F34-G34)</x:f>
      </x:c>
      <x:c r="I34" s="30">
        <x:f>IF(A34="","",DATE(YEAR(A34),MONTH(A34),1))</x:f>
      </x:c>
    </x:row>
    <x:row r="35">
      <x:c r="A35" s="29" t="inlineStr">
        <x:is>
          <x:t xml:space="preserve"/>
        </x:is>
      </x:c>
      <x:c r="B35" s="24" t="inlineStr">
        <x:is>
          <x:t xml:space="preserve"/>
        </x:is>
      </x:c>
      <x:c r="C35" s="28" t="inlineStr">
        <x:is>
          <x:t xml:space="preserve"/>
        </x:is>
      </x:c>
      <x:c r="D35" s="9" t="inlineStr">
        <x:is>
          <x:t xml:space="preserve"/>
        </x:is>
      </x:c>
      <x:c r="E35" s="9" t="inlineStr">
        <x:is>
          <x:t xml:space="preserve"/>
        </x:is>
      </x:c>
      <x:c r="F35" s="18">
        <x:f>IF(OR(C35="",D35=""),"",C35*D35)</x:f>
      </x:c>
      <x:c r="G35" s="18">
        <x:f>IF(OR(C35="",E35=""),"",C35*E35)</x:f>
      </x:c>
      <x:c r="H35" s="18">
        <x:f>IF(OR(F35="",G35=""),"",F35-G35)</x:f>
      </x:c>
      <x:c r="I35" s="30">
        <x:f>IF(A35="","",DATE(YEAR(A35),MONTH(A35),1))</x:f>
      </x:c>
    </x:row>
    <x:row r="36">
      <x:c r="A36" s="29" t="inlineStr">
        <x:is>
          <x:t xml:space="preserve"/>
        </x:is>
      </x:c>
      <x:c r="B36" s="24" t="inlineStr">
        <x:is>
          <x:t xml:space="preserve"/>
        </x:is>
      </x:c>
      <x:c r="C36" s="28" t="inlineStr">
        <x:is>
          <x:t xml:space="preserve"/>
        </x:is>
      </x:c>
      <x:c r="D36" s="9" t="inlineStr">
        <x:is>
          <x:t xml:space="preserve"/>
        </x:is>
      </x:c>
      <x:c r="E36" s="9" t="inlineStr">
        <x:is>
          <x:t xml:space="preserve"/>
        </x:is>
      </x:c>
      <x:c r="F36" s="18">
        <x:f>IF(OR(C36="",D36=""),"",C36*D36)</x:f>
      </x:c>
      <x:c r="G36" s="18">
        <x:f>IF(OR(C36="",E36=""),"",C36*E36)</x:f>
      </x:c>
      <x:c r="H36" s="18">
        <x:f>IF(OR(F36="",G36=""),"",F36-G36)</x:f>
      </x:c>
      <x:c r="I36" s="30">
        <x:f>IF(A36="","",DATE(YEAR(A36),MONTH(A36),1))</x:f>
      </x:c>
    </x:row>
    <x:row r="37">
      <x:c r="A37" s="29" t="inlineStr">
        <x:is>
          <x:t xml:space="preserve"/>
        </x:is>
      </x:c>
      <x:c r="B37" s="24" t="inlineStr">
        <x:is>
          <x:t xml:space="preserve"/>
        </x:is>
      </x:c>
      <x:c r="C37" s="28" t="inlineStr">
        <x:is>
          <x:t xml:space="preserve"/>
        </x:is>
      </x:c>
      <x:c r="D37" s="9" t="inlineStr">
        <x:is>
          <x:t xml:space="preserve"/>
        </x:is>
      </x:c>
      <x:c r="E37" s="9" t="inlineStr">
        <x:is>
          <x:t xml:space="preserve"/>
        </x:is>
      </x:c>
      <x:c r="F37" s="18">
        <x:f>IF(OR(C37="",D37=""),"",C37*D37)</x:f>
      </x:c>
      <x:c r="G37" s="18">
        <x:f>IF(OR(C37="",E37=""),"",C37*E37)</x:f>
      </x:c>
      <x:c r="H37" s="18">
        <x:f>IF(OR(F37="",G37=""),"",F37-G37)</x:f>
      </x:c>
      <x:c r="I37" s="30">
        <x:f>IF(A37="","",DATE(YEAR(A37),MONTH(A37),1))</x:f>
      </x:c>
    </x:row>
    <x:row r="38">
      <x:c r="A38" s="29" t="inlineStr">
        <x:is>
          <x:t xml:space="preserve"/>
        </x:is>
      </x:c>
      <x:c r="B38" s="24" t="inlineStr">
        <x:is>
          <x:t xml:space="preserve"/>
        </x:is>
      </x:c>
      <x:c r="C38" s="28" t="inlineStr">
        <x:is>
          <x:t xml:space="preserve"/>
        </x:is>
      </x:c>
      <x:c r="D38" s="9" t="inlineStr">
        <x:is>
          <x:t xml:space="preserve"/>
        </x:is>
      </x:c>
      <x:c r="E38" s="9" t="inlineStr">
        <x:is>
          <x:t xml:space="preserve"/>
        </x:is>
      </x:c>
      <x:c r="F38" s="18">
        <x:f>IF(OR(C38="",D38=""),"",C38*D38)</x:f>
      </x:c>
      <x:c r="G38" s="18">
        <x:f>IF(OR(C38="",E38=""),"",C38*E38)</x:f>
      </x:c>
      <x:c r="H38" s="18">
        <x:f>IF(OR(F38="",G38=""),"",F38-G38)</x:f>
      </x:c>
      <x:c r="I38" s="30">
        <x:f>IF(A38="","",DATE(YEAR(A38),MONTH(A38),1))</x:f>
      </x:c>
    </x:row>
    <x:row r="39">
      <x:c r="A39" s="29" t="inlineStr">
        <x:is>
          <x:t xml:space="preserve"/>
        </x:is>
      </x:c>
      <x:c r="B39" s="24" t="inlineStr">
        <x:is>
          <x:t xml:space="preserve"/>
        </x:is>
      </x:c>
      <x:c r="C39" s="28" t="inlineStr">
        <x:is>
          <x:t xml:space="preserve"/>
        </x:is>
      </x:c>
      <x:c r="D39" s="9" t="inlineStr">
        <x:is>
          <x:t xml:space="preserve"/>
        </x:is>
      </x:c>
      <x:c r="E39" s="9" t="inlineStr">
        <x:is>
          <x:t xml:space="preserve"/>
        </x:is>
      </x:c>
      <x:c r="F39" s="18">
        <x:f>IF(OR(C39="",D39=""),"",C39*D39)</x:f>
      </x:c>
      <x:c r="G39" s="18">
        <x:f>IF(OR(C39="",E39=""),"",C39*E39)</x:f>
      </x:c>
      <x:c r="H39" s="18">
        <x:f>IF(OR(F39="",G39=""),"",F39-G39)</x:f>
      </x:c>
      <x:c r="I39" s="30">
        <x:f>IF(A39="","",DATE(YEAR(A39),MONTH(A39),1))</x:f>
      </x:c>
    </x:row>
    <x:row r="40">
      <x:c r="A40" s="29" t="inlineStr">
        <x:is>
          <x:t xml:space="preserve"/>
        </x:is>
      </x:c>
      <x:c r="B40" s="24" t="inlineStr">
        <x:is>
          <x:t xml:space="preserve"/>
        </x:is>
      </x:c>
      <x:c r="C40" s="28" t="inlineStr">
        <x:is>
          <x:t xml:space="preserve"/>
        </x:is>
      </x:c>
      <x:c r="D40" s="9" t="inlineStr">
        <x:is>
          <x:t xml:space="preserve"/>
        </x:is>
      </x:c>
      <x:c r="E40" s="9" t="inlineStr">
        <x:is>
          <x:t xml:space="preserve"/>
        </x:is>
      </x:c>
      <x:c r="F40" s="18">
        <x:f>IF(OR(C40="",D40=""),"",C40*D40)</x:f>
      </x:c>
      <x:c r="G40" s="18">
        <x:f>IF(OR(C40="",E40=""),"",C40*E40)</x:f>
      </x:c>
      <x:c r="H40" s="18">
        <x:f>IF(OR(F40="",G40=""),"",F40-G40)</x:f>
      </x:c>
      <x:c r="I40" s="30">
        <x:f>IF(A40="","",DATE(YEAR(A40),MONTH(A40),1))</x:f>
      </x:c>
    </x:row>
    <x:row r="41">
      <x:c r="A41" s="29" t="inlineStr">
        <x:is>
          <x:t xml:space="preserve"/>
        </x:is>
      </x:c>
      <x:c r="B41" s="24" t="inlineStr">
        <x:is>
          <x:t xml:space="preserve"/>
        </x:is>
      </x:c>
      <x:c r="C41" s="28" t="inlineStr">
        <x:is>
          <x:t xml:space="preserve"/>
        </x:is>
      </x:c>
      <x:c r="D41" s="9" t="inlineStr">
        <x:is>
          <x:t xml:space="preserve"/>
        </x:is>
      </x:c>
      <x:c r="E41" s="9" t="inlineStr">
        <x:is>
          <x:t xml:space="preserve"/>
        </x:is>
      </x:c>
      <x:c r="F41" s="18">
        <x:f>IF(OR(C41="",D41=""),"",C41*D41)</x:f>
      </x:c>
      <x:c r="G41" s="18">
        <x:f>IF(OR(C41="",E41=""),"",C41*E41)</x:f>
      </x:c>
      <x:c r="H41" s="18">
        <x:f>IF(OR(F41="",G41=""),"",F41-G41)</x:f>
      </x:c>
      <x:c r="I41" s="30">
        <x:f>IF(A41="","",DATE(YEAR(A41),MONTH(A41),1))</x:f>
      </x:c>
    </x:row>
    <x:row r="42">
      <x:c r="A42" s="29" t="inlineStr">
        <x:is>
          <x:t xml:space="preserve"/>
        </x:is>
      </x:c>
      <x:c r="B42" s="24" t="inlineStr">
        <x:is>
          <x:t xml:space="preserve"/>
        </x:is>
      </x:c>
      <x:c r="C42" s="28" t="inlineStr">
        <x:is>
          <x:t xml:space="preserve"/>
        </x:is>
      </x:c>
      <x:c r="D42" s="9" t="inlineStr">
        <x:is>
          <x:t xml:space="preserve"/>
        </x:is>
      </x:c>
      <x:c r="E42" s="9" t="inlineStr">
        <x:is>
          <x:t xml:space="preserve"/>
        </x:is>
      </x:c>
      <x:c r="F42" s="18">
        <x:f>IF(OR(C42="",D42=""),"",C42*D42)</x:f>
      </x:c>
      <x:c r="G42" s="18">
        <x:f>IF(OR(C42="",E42=""),"",C42*E42)</x:f>
      </x:c>
      <x:c r="H42" s="18">
        <x:f>IF(OR(F42="",G42=""),"",F42-G42)</x:f>
      </x:c>
      <x:c r="I42" s="30">
        <x:f>IF(A42="","",DATE(YEAR(A42),MONTH(A42),1))</x:f>
      </x:c>
    </x:row>
    <x:row r="43">
      <x:c r="A43" s="29" t="inlineStr">
        <x:is>
          <x:t xml:space="preserve"/>
        </x:is>
      </x:c>
      <x:c r="B43" s="24" t="inlineStr">
        <x:is>
          <x:t xml:space="preserve"/>
        </x:is>
      </x:c>
      <x:c r="C43" s="28" t="inlineStr">
        <x:is>
          <x:t xml:space="preserve"/>
        </x:is>
      </x:c>
      <x:c r="D43" s="9" t="inlineStr">
        <x:is>
          <x:t xml:space="preserve"/>
        </x:is>
      </x:c>
      <x:c r="E43" s="9" t="inlineStr">
        <x:is>
          <x:t xml:space="preserve"/>
        </x:is>
      </x:c>
      <x:c r="F43" s="18">
        <x:f>IF(OR(C43="",D43=""),"",C43*D43)</x:f>
      </x:c>
      <x:c r="G43" s="18">
        <x:f>IF(OR(C43="",E43=""),"",C43*E43)</x:f>
      </x:c>
      <x:c r="H43" s="18">
        <x:f>IF(OR(F43="",G43=""),"",F43-G43)</x:f>
      </x:c>
      <x:c r="I43" s="30">
        <x:f>IF(A43="","",DATE(YEAR(A43),MONTH(A43),1))</x:f>
      </x:c>
    </x:row>
    <x:row r="44">
      <x:c r="A44" s="29" t="inlineStr">
        <x:is>
          <x:t xml:space="preserve"/>
        </x:is>
      </x:c>
      <x:c r="B44" s="24" t="inlineStr">
        <x:is>
          <x:t xml:space="preserve"/>
        </x:is>
      </x:c>
      <x:c r="C44" s="28" t="inlineStr">
        <x:is>
          <x:t xml:space="preserve"/>
        </x:is>
      </x:c>
      <x:c r="D44" s="9" t="inlineStr">
        <x:is>
          <x:t xml:space="preserve"/>
        </x:is>
      </x:c>
      <x:c r="E44" s="9" t="inlineStr">
        <x:is>
          <x:t xml:space="preserve"/>
        </x:is>
      </x:c>
      <x:c r="F44" s="18">
        <x:f>IF(OR(C44="",D44=""),"",C44*D44)</x:f>
      </x:c>
      <x:c r="G44" s="18">
        <x:f>IF(OR(C44="",E44=""),"",C44*E44)</x:f>
      </x:c>
      <x:c r="H44" s="18">
        <x:f>IF(OR(F44="",G44=""),"",F44-G44)</x:f>
      </x:c>
      <x:c r="I44" s="30">
        <x:f>IF(A44="","",DATE(YEAR(A44),MONTH(A44),1))</x:f>
      </x:c>
    </x:row>
    <x:row r="45">
      <x:c r="A45" s="29" t="inlineStr">
        <x:is>
          <x:t xml:space="preserve"/>
        </x:is>
      </x:c>
      <x:c r="B45" s="24" t="inlineStr">
        <x:is>
          <x:t xml:space="preserve"/>
        </x:is>
      </x:c>
      <x:c r="C45" s="28" t="inlineStr">
        <x:is>
          <x:t xml:space="preserve"/>
        </x:is>
      </x:c>
      <x:c r="D45" s="9" t="inlineStr">
        <x:is>
          <x:t xml:space="preserve"/>
        </x:is>
      </x:c>
      <x:c r="E45" s="9" t="inlineStr">
        <x:is>
          <x:t xml:space="preserve"/>
        </x:is>
      </x:c>
      <x:c r="F45" s="18">
        <x:f>IF(OR(C45="",D45=""),"",C45*D45)</x:f>
      </x:c>
      <x:c r="G45" s="18">
        <x:f>IF(OR(C45="",E45=""),"",C45*E45)</x:f>
      </x:c>
      <x:c r="H45" s="18">
        <x:f>IF(OR(F45="",G45=""),"",F45-G45)</x:f>
      </x:c>
      <x:c r="I45" s="30">
        <x:f>IF(A45="","",DATE(YEAR(A45),MONTH(A45),1))</x:f>
      </x:c>
    </x:row>
    <x:row r="46">
      <x:c r="A46" s="29" t="inlineStr">
        <x:is>
          <x:t xml:space="preserve"/>
        </x:is>
      </x:c>
      <x:c r="B46" s="24" t="inlineStr">
        <x:is>
          <x:t xml:space="preserve"/>
        </x:is>
      </x:c>
      <x:c r="C46" s="28" t="inlineStr">
        <x:is>
          <x:t xml:space="preserve"/>
        </x:is>
      </x:c>
      <x:c r="D46" s="9" t="inlineStr">
        <x:is>
          <x:t xml:space="preserve"/>
        </x:is>
      </x:c>
      <x:c r="E46" s="9" t="inlineStr">
        <x:is>
          <x:t xml:space="preserve"/>
        </x:is>
      </x:c>
      <x:c r="F46" s="18">
        <x:f>IF(OR(C46="",D46=""),"",C46*D46)</x:f>
      </x:c>
      <x:c r="G46" s="18">
        <x:f>IF(OR(C46="",E46=""),"",C46*E46)</x:f>
      </x:c>
      <x:c r="H46" s="18">
        <x:f>IF(OR(F46="",G46=""),"",F46-G46)</x:f>
      </x:c>
      <x:c r="I46" s="30">
        <x:f>IF(A46="","",DATE(YEAR(A46),MONTH(A46),1))</x:f>
      </x:c>
    </x:row>
    <x:row r="47">
      <x:c r="A47" s="29" t="inlineStr">
        <x:is>
          <x:t xml:space="preserve"/>
        </x:is>
      </x:c>
      <x:c r="B47" s="24" t="inlineStr">
        <x:is>
          <x:t xml:space="preserve"/>
        </x:is>
      </x:c>
      <x:c r="C47" s="28" t="inlineStr">
        <x:is>
          <x:t xml:space="preserve"/>
        </x:is>
      </x:c>
      <x:c r="D47" s="9" t="inlineStr">
        <x:is>
          <x:t xml:space="preserve"/>
        </x:is>
      </x:c>
      <x:c r="E47" s="9" t="inlineStr">
        <x:is>
          <x:t xml:space="preserve"/>
        </x:is>
      </x:c>
      <x:c r="F47" s="18">
        <x:f>IF(OR(C47="",D47=""),"",C47*D47)</x:f>
      </x:c>
      <x:c r="G47" s="18">
        <x:f>IF(OR(C47="",E47=""),"",C47*E47)</x:f>
      </x:c>
      <x:c r="H47" s="18">
        <x:f>IF(OR(F47="",G47=""),"",F47-G47)</x:f>
      </x:c>
      <x:c r="I47" s="30">
        <x:f>IF(A47="","",DATE(YEAR(A47),MONTH(A47),1))</x:f>
      </x:c>
    </x:row>
    <x:row r="48">
      <x:c r="A48" s="29" t="inlineStr">
        <x:is>
          <x:t xml:space="preserve"/>
        </x:is>
      </x:c>
      <x:c r="B48" s="24" t="inlineStr">
        <x:is>
          <x:t xml:space="preserve"/>
        </x:is>
      </x:c>
      <x:c r="C48" s="28" t="inlineStr">
        <x:is>
          <x:t xml:space="preserve"/>
        </x:is>
      </x:c>
      <x:c r="D48" s="9" t="inlineStr">
        <x:is>
          <x:t xml:space="preserve"/>
        </x:is>
      </x:c>
      <x:c r="E48" s="9" t="inlineStr">
        <x:is>
          <x:t xml:space="preserve"/>
        </x:is>
      </x:c>
      <x:c r="F48" s="18">
        <x:f>IF(OR(C48="",D48=""),"",C48*D48)</x:f>
      </x:c>
      <x:c r="G48" s="18">
        <x:f>IF(OR(C48="",E48=""),"",C48*E48)</x:f>
      </x:c>
      <x:c r="H48" s="18">
        <x:f>IF(OR(F48="",G48=""),"",F48-G48)</x:f>
      </x:c>
      <x:c r="I48" s="30">
        <x:f>IF(A48="","",DATE(YEAR(A48),MONTH(A48),1))</x:f>
      </x:c>
    </x:row>
    <x:row r="49">
      <x:c r="A49" s="29" t="inlineStr">
        <x:is>
          <x:t xml:space="preserve"/>
        </x:is>
      </x:c>
      <x:c r="B49" s="24" t="inlineStr">
        <x:is>
          <x:t xml:space="preserve"/>
        </x:is>
      </x:c>
      <x:c r="C49" s="28" t="inlineStr">
        <x:is>
          <x:t xml:space="preserve"/>
        </x:is>
      </x:c>
      <x:c r="D49" s="9" t="inlineStr">
        <x:is>
          <x:t xml:space="preserve"/>
        </x:is>
      </x:c>
      <x:c r="E49" s="9" t="inlineStr">
        <x:is>
          <x:t xml:space="preserve"/>
        </x:is>
      </x:c>
      <x:c r="F49" s="18">
        <x:f>IF(OR(C49="",D49=""),"",C49*D49)</x:f>
      </x:c>
      <x:c r="G49" s="18">
        <x:f>IF(OR(C49="",E49=""),"",C49*E49)</x:f>
      </x:c>
      <x:c r="H49" s="18">
        <x:f>IF(OR(F49="",G49=""),"",F49-G49)</x:f>
      </x:c>
      <x:c r="I49" s="30">
        <x:f>IF(A49="","",DATE(YEAR(A49),MONTH(A49),1))</x:f>
      </x:c>
    </x:row>
    <x:row r="50">
      <x:c r="A50" s="29" t="inlineStr">
        <x:is>
          <x:t xml:space="preserve"/>
        </x:is>
      </x:c>
      <x:c r="B50" s="24" t="inlineStr">
        <x:is>
          <x:t xml:space="preserve"/>
        </x:is>
      </x:c>
      <x:c r="C50" s="28" t="inlineStr">
        <x:is>
          <x:t xml:space="preserve"/>
        </x:is>
      </x:c>
      <x:c r="D50" s="9" t="inlineStr">
        <x:is>
          <x:t xml:space="preserve"/>
        </x:is>
      </x:c>
      <x:c r="E50" s="9" t="inlineStr">
        <x:is>
          <x:t xml:space="preserve"/>
        </x:is>
      </x:c>
      <x:c r="F50" s="18">
        <x:f>IF(OR(C50="",D50=""),"",C50*D50)</x:f>
      </x:c>
      <x:c r="G50" s="18">
        <x:f>IF(OR(C50="",E50=""),"",C50*E50)</x:f>
      </x:c>
      <x:c r="H50" s="18">
        <x:f>IF(OR(F50="",G50=""),"",F50-G50)</x:f>
      </x:c>
      <x:c r="I50" s="30">
        <x:f>IF(A50="","",DATE(YEAR(A50),MONTH(A50),1))</x:f>
      </x:c>
    </x:row>
    <x:row r="51">
      <x:c r="A51" s="29" t="inlineStr">
        <x:is>
          <x:t xml:space="preserve"/>
        </x:is>
      </x:c>
      <x:c r="B51" s="24" t="inlineStr">
        <x:is>
          <x:t xml:space="preserve"/>
        </x:is>
      </x:c>
      <x:c r="C51" s="28" t="inlineStr">
        <x:is>
          <x:t xml:space="preserve"/>
        </x:is>
      </x:c>
      <x:c r="D51" s="9" t="inlineStr">
        <x:is>
          <x:t xml:space="preserve"/>
        </x:is>
      </x:c>
      <x:c r="E51" s="9" t="inlineStr">
        <x:is>
          <x:t xml:space="preserve"/>
        </x:is>
      </x:c>
      <x:c r="F51" s="18">
        <x:f>IF(OR(C51="",D51=""),"",C51*D51)</x:f>
      </x:c>
      <x:c r="G51" s="18">
        <x:f>IF(OR(C51="",E51=""),"",C51*E51)</x:f>
      </x:c>
      <x:c r="H51" s="18">
        <x:f>IF(OR(F51="",G51=""),"",F51-G51)</x:f>
      </x:c>
      <x:c r="I51" s="30">
        <x:f>IF(A51="","",DATE(YEAR(A51),MONTH(A51),1))</x:f>
      </x:c>
    </x:row>
    <x:row r="52">
      <x:c r="A52" s="29" t="inlineStr">
        <x:is>
          <x:t xml:space="preserve"/>
        </x:is>
      </x:c>
      <x:c r="B52" s="24" t="inlineStr">
        <x:is>
          <x:t xml:space="preserve"/>
        </x:is>
      </x:c>
      <x:c r="C52" s="28" t="inlineStr">
        <x:is>
          <x:t xml:space="preserve"/>
        </x:is>
      </x:c>
      <x:c r="D52" s="9" t="inlineStr">
        <x:is>
          <x:t xml:space="preserve"/>
        </x:is>
      </x:c>
      <x:c r="E52" s="9" t="inlineStr">
        <x:is>
          <x:t xml:space="preserve"/>
        </x:is>
      </x:c>
      <x:c r="F52" s="18">
        <x:f>IF(OR(C52="",D52=""),"",C52*D52)</x:f>
      </x:c>
      <x:c r="G52" s="18">
        <x:f>IF(OR(C52="",E52=""),"",C52*E52)</x:f>
      </x:c>
      <x:c r="H52" s="18">
        <x:f>IF(OR(F52="",G52=""),"",F52-G52)</x:f>
      </x:c>
      <x:c r="I52" s="30">
        <x:f>IF(A52="","",DATE(YEAR(A52),MONTH(A52),1))</x:f>
      </x:c>
    </x:row>
    <x:row r="53">
      <x:c r="A53" s="29" t="inlineStr">
        <x:is>
          <x:t xml:space="preserve"/>
        </x:is>
      </x:c>
      <x:c r="B53" s="24" t="inlineStr">
        <x:is>
          <x:t xml:space="preserve"/>
        </x:is>
      </x:c>
      <x:c r="C53" s="28" t="inlineStr">
        <x:is>
          <x:t xml:space="preserve"/>
        </x:is>
      </x:c>
      <x:c r="D53" s="9" t="inlineStr">
        <x:is>
          <x:t xml:space="preserve"/>
        </x:is>
      </x:c>
      <x:c r="E53" s="9" t="inlineStr">
        <x:is>
          <x:t xml:space="preserve"/>
        </x:is>
      </x:c>
      <x:c r="F53" s="18">
        <x:f>IF(OR(C53="",D53=""),"",C53*D53)</x:f>
      </x:c>
      <x:c r="G53" s="18">
        <x:f>IF(OR(C53="",E53=""),"",C53*E53)</x:f>
      </x:c>
      <x:c r="H53" s="18">
        <x:f>IF(OR(F53="",G53=""),"",F53-G53)</x:f>
      </x:c>
      <x:c r="I53" s="30">
        <x:f>IF(A53="","",DATE(YEAR(A53),MONTH(A53),1))</x:f>
      </x:c>
    </x:row>
    <x:row r="54">
      <x:c r="A54" s="29" t="inlineStr">
        <x:is>
          <x:t xml:space="preserve"/>
        </x:is>
      </x:c>
      <x:c r="B54" s="24" t="inlineStr">
        <x:is>
          <x:t xml:space="preserve"/>
        </x:is>
      </x:c>
      <x:c r="C54" s="28" t="inlineStr">
        <x:is>
          <x:t xml:space="preserve"/>
        </x:is>
      </x:c>
      <x:c r="D54" s="9" t="inlineStr">
        <x:is>
          <x:t xml:space="preserve"/>
        </x:is>
      </x:c>
      <x:c r="E54" s="9" t="inlineStr">
        <x:is>
          <x:t xml:space="preserve"/>
        </x:is>
      </x:c>
      <x:c r="F54" s="18">
        <x:f>IF(OR(C54="",D54=""),"",C54*D54)</x:f>
      </x:c>
      <x:c r="G54" s="18">
        <x:f>IF(OR(C54="",E54=""),"",C54*E54)</x:f>
      </x:c>
      <x:c r="H54" s="18">
        <x:f>IF(OR(F54="",G54=""),"",F54-G54)</x:f>
      </x:c>
      <x:c r="I54" s="30">
        <x:f>IF(A54="","",DATE(YEAR(A54),MONTH(A54),1))</x:f>
      </x:c>
    </x:row>
    <x:row r="55">
      <x:c r="A55" s="29" t="inlineStr">
        <x:is>
          <x:t xml:space="preserve"/>
        </x:is>
      </x:c>
      <x:c r="B55" s="24" t="inlineStr">
        <x:is>
          <x:t xml:space="preserve"/>
        </x:is>
      </x:c>
      <x:c r="C55" s="28" t="inlineStr">
        <x:is>
          <x:t xml:space="preserve"/>
        </x:is>
      </x:c>
      <x:c r="D55" s="9" t="inlineStr">
        <x:is>
          <x:t xml:space="preserve"/>
        </x:is>
      </x:c>
      <x:c r="E55" s="9" t="inlineStr">
        <x:is>
          <x:t xml:space="preserve"/>
        </x:is>
      </x:c>
      <x:c r="F55" s="18">
        <x:f>IF(OR(C55="",D55=""),"",C55*D55)</x:f>
      </x:c>
      <x:c r="G55" s="18">
        <x:f>IF(OR(C55="",E55=""),"",C55*E55)</x:f>
      </x:c>
      <x:c r="H55" s="18">
        <x:f>IF(OR(F55="",G55=""),"",F55-G55)</x:f>
      </x:c>
      <x:c r="I55" s="30">
        <x:f>IF(A55="","",DATE(YEAR(A55),MONTH(A55),1))</x:f>
      </x:c>
    </x:row>
    <x:row r="56">
      <x:c r="A56" s="29" t="inlineStr">
        <x:is>
          <x:t xml:space="preserve"/>
        </x:is>
      </x:c>
      <x:c r="B56" s="24" t="inlineStr">
        <x:is>
          <x:t xml:space="preserve"/>
        </x:is>
      </x:c>
      <x:c r="C56" s="28" t="inlineStr">
        <x:is>
          <x:t xml:space="preserve"/>
        </x:is>
      </x:c>
      <x:c r="D56" s="9" t="inlineStr">
        <x:is>
          <x:t xml:space="preserve"/>
        </x:is>
      </x:c>
      <x:c r="E56" s="9" t="inlineStr">
        <x:is>
          <x:t xml:space="preserve"/>
        </x:is>
      </x:c>
      <x:c r="F56" s="18">
        <x:f>IF(OR(C56="",D56=""),"",C56*D56)</x:f>
      </x:c>
      <x:c r="G56" s="18">
        <x:f>IF(OR(C56="",E56=""),"",C56*E56)</x:f>
      </x:c>
      <x:c r="H56" s="18">
        <x:f>IF(OR(F56="",G56=""),"",F56-G56)</x:f>
      </x:c>
      <x:c r="I56" s="30">
        <x:f>IF(A56="","",DATE(YEAR(A56),MONTH(A56),1))</x:f>
      </x:c>
    </x:row>
    <x:row r="57">
      <x:c r="A57" s="29" t="inlineStr">
        <x:is>
          <x:t xml:space="preserve"/>
        </x:is>
      </x:c>
      <x:c r="B57" s="24" t="inlineStr">
        <x:is>
          <x:t xml:space="preserve"/>
        </x:is>
      </x:c>
      <x:c r="C57" s="28" t="inlineStr">
        <x:is>
          <x:t xml:space="preserve"/>
        </x:is>
      </x:c>
      <x:c r="D57" s="9" t="inlineStr">
        <x:is>
          <x:t xml:space="preserve"/>
        </x:is>
      </x:c>
      <x:c r="E57" s="9" t="inlineStr">
        <x:is>
          <x:t xml:space="preserve"/>
        </x:is>
      </x:c>
      <x:c r="F57" s="18">
        <x:f>IF(OR(C57="",D57=""),"",C57*D57)</x:f>
      </x:c>
      <x:c r="G57" s="18">
        <x:f>IF(OR(C57="",E57=""),"",C57*E57)</x:f>
      </x:c>
      <x:c r="H57" s="18">
        <x:f>IF(OR(F57="",G57=""),"",F57-G57)</x:f>
      </x:c>
      <x:c r="I57" s="30">
        <x:f>IF(A57="","",DATE(YEAR(A57),MONTH(A57),1))</x:f>
      </x:c>
    </x:row>
    <x:row r="58">
      <x:c r="A58" s="29" t="inlineStr">
        <x:is>
          <x:t xml:space="preserve"/>
        </x:is>
      </x:c>
      <x:c r="B58" s="24" t="inlineStr">
        <x:is>
          <x:t xml:space="preserve"/>
        </x:is>
      </x:c>
      <x:c r="C58" s="28" t="inlineStr">
        <x:is>
          <x:t xml:space="preserve"/>
        </x:is>
      </x:c>
      <x:c r="D58" s="9" t="inlineStr">
        <x:is>
          <x:t xml:space="preserve"/>
        </x:is>
      </x:c>
      <x:c r="E58" s="9" t="inlineStr">
        <x:is>
          <x:t xml:space="preserve"/>
        </x:is>
      </x:c>
      <x:c r="F58" s="18">
        <x:f>IF(OR(C58="",D58=""),"",C58*D58)</x:f>
      </x:c>
      <x:c r="G58" s="18">
        <x:f>IF(OR(C58="",E58=""),"",C58*E58)</x:f>
      </x:c>
      <x:c r="H58" s="18">
        <x:f>IF(OR(F58="",G58=""),"",F58-G58)</x:f>
      </x:c>
      <x:c r="I58" s="30">
        <x:f>IF(A58="","",DATE(YEAR(A58),MONTH(A58),1))</x:f>
      </x:c>
    </x:row>
    <x:row r="59">
      <x:c r="A59" s="29" t="inlineStr">
        <x:is>
          <x:t xml:space="preserve"/>
        </x:is>
      </x:c>
      <x:c r="B59" s="24" t="inlineStr">
        <x:is>
          <x:t xml:space="preserve"/>
        </x:is>
      </x:c>
      <x:c r="C59" s="28" t="inlineStr">
        <x:is>
          <x:t xml:space="preserve"/>
        </x:is>
      </x:c>
      <x:c r="D59" s="9" t="inlineStr">
        <x:is>
          <x:t xml:space="preserve"/>
        </x:is>
      </x:c>
      <x:c r="E59" s="9" t="inlineStr">
        <x:is>
          <x:t xml:space="preserve"/>
        </x:is>
      </x:c>
      <x:c r="F59" s="18">
        <x:f>IF(OR(C59="",D59=""),"",C59*D59)</x:f>
      </x:c>
      <x:c r="G59" s="18">
        <x:f>IF(OR(C59="",E59=""),"",C59*E59)</x:f>
      </x:c>
      <x:c r="H59" s="18">
        <x:f>IF(OR(F59="",G59=""),"",F59-G59)</x:f>
      </x:c>
      <x:c r="I59" s="30">
        <x:f>IF(A59="","",DATE(YEAR(A59),MONTH(A59),1))</x:f>
      </x:c>
    </x:row>
    <x:row r="60">
      <x:c r="A60" s="29" t="inlineStr">
        <x:is>
          <x:t xml:space="preserve"/>
        </x:is>
      </x:c>
      <x:c r="B60" s="24" t="inlineStr">
        <x:is>
          <x:t xml:space="preserve"/>
        </x:is>
      </x:c>
      <x:c r="C60" s="28" t="inlineStr">
        <x:is>
          <x:t xml:space="preserve"/>
        </x:is>
      </x:c>
      <x:c r="D60" s="9" t="inlineStr">
        <x:is>
          <x:t xml:space="preserve"/>
        </x:is>
      </x:c>
      <x:c r="E60" s="9" t="inlineStr">
        <x:is>
          <x:t xml:space="preserve"/>
        </x:is>
      </x:c>
      <x:c r="F60" s="18">
        <x:f>IF(OR(C60="",D60=""),"",C60*D60)</x:f>
      </x:c>
      <x:c r="G60" s="18">
        <x:f>IF(OR(C60="",E60=""),"",C60*E60)</x:f>
      </x:c>
      <x:c r="H60" s="18">
        <x:f>IF(OR(F60="",G60=""),"",F60-G60)</x:f>
      </x:c>
      <x:c r="I60" s="30">
        <x:f>IF(A60="","",DATE(YEAR(A60),MONTH(A60),1))</x:f>
      </x:c>
    </x:row>
    <x:row r="61">
      <x:c r="A61" s="29" t="inlineStr">
        <x:is>
          <x:t xml:space="preserve"/>
        </x:is>
      </x:c>
      <x:c r="B61" s="24" t="inlineStr">
        <x:is>
          <x:t xml:space="preserve"/>
        </x:is>
      </x:c>
      <x:c r="C61" s="28" t="inlineStr">
        <x:is>
          <x:t xml:space="preserve"/>
        </x:is>
      </x:c>
      <x:c r="D61" s="9" t="inlineStr">
        <x:is>
          <x:t xml:space="preserve"/>
        </x:is>
      </x:c>
      <x:c r="E61" s="9" t="inlineStr">
        <x:is>
          <x:t xml:space="preserve"/>
        </x:is>
      </x:c>
      <x:c r="F61" s="18">
        <x:f>IF(OR(C61="",D61=""),"",C61*D61)</x:f>
      </x:c>
      <x:c r="G61" s="18">
        <x:f>IF(OR(C61="",E61=""),"",C61*E61)</x:f>
      </x:c>
      <x:c r="H61" s="18">
        <x:f>IF(OR(F61="",G61=""),"",F61-G61)</x:f>
      </x:c>
      <x:c r="I61" s="30">
        <x:f>IF(A61="","",DATE(YEAR(A61),MONTH(A61),1))</x:f>
      </x:c>
    </x:row>
    <x:row r="62">
      <x:c r="A62" s="29" t="inlineStr">
        <x:is>
          <x:t xml:space="preserve"/>
        </x:is>
      </x:c>
      <x:c r="B62" s="24" t="inlineStr">
        <x:is>
          <x:t xml:space="preserve"/>
        </x:is>
      </x:c>
      <x:c r="C62" s="28" t="inlineStr">
        <x:is>
          <x:t xml:space="preserve"/>
        </x:is>
      </x:c>
      <x:c r="D62" s="9" t="inlineStr">
        <x:is>
          <x:t xml:space="preserve"/>
        </x:is>
      </x:c>
      <x:c r="E62" s="9" t="inlineStr">
        <x:is>
          <x:t xml:space="preserve"/>
        </x:is>
      </x:c>
      <x:c r="F62" s="18">
        <x:f>IF(OR(C62="",D62=""),"",C62*D62)</x:f>
      </x:c>
      <x:c r="G62" s="18">
        <x:f>IF(OR(C62="",E62=""),"",C62*E62)</x:f>
      </x:c>
      <x:c r="H62" s="18">
        <x:f>IF(OR(F62="",G62=""),"",F62-G62)</x:f>
      </x:c>
      <x:c r="I62" s="30">
        <x:f>IF(A62="","",DATE(YEAR(A62),MONTH(A62),1))</x:f>
      </x:c>
    </x:row>
    <x:row r="63">
      <x:c r="A63" s="29" t="inlineStr">
        <x:is>
          <x:t xml:space="preserve"/>
        </x:is>
      </x:c>
      <x:c r="B63" s="24" t="inlineStr">
        <x:is>
          <x:t xml:space="preserve"/>
        </x:is>
      </x:c>
      <x:c r="C63" s="28" t="inlineStr">
        <x:is>
          <x:t xml:space="preserve"/>
        </x:is>
      </x:c>
      <x:c r="D63" s="9" t="inlineStr">
        <x:is>
          <x:t xml:space="preserve"/>
        </x:is>
      </x:c>
      <x:c r="E63" s="9" t="inlineStr">
        <x:is>
          <x:t xml:space="preserve"/>
        </x:is>
      </x:c>
      <x:c r="F63" s="18">
        <x:f>IF(OR(C63="",D63=""),"",C63*D63)</x:f>
      </x:c>
      <x:c r="G63" s="18">
        <x:f>IF(OR(C63="",E63=""),"",C63*E63)</x:f>
      </x:c>
      <x:c r="H63" s="18">
        <x:f>IF(OR(F63="",G63=""),"",F63-G63)</x:f>
      </x:c>
      <x:c r="I63" s="30">
        <x:f>IF(A63="","",DATE(YEAR(A63),MONTH(A63),1))</x:f>
      </x:c>
    </x:row>
    <x:row r="64">
      <x:c r="A64" s="29" t="inlineStr">
        <x:is>
          <x:t xml:space="preserve"/>
        </x:is>
      </x:c>
      <x:c r="B64" s="24" t="inlineStr">
        <x:is>
          <x:t xml:space="preserve"/>
        </x:is>
      </x:c>
      <x:c r="C64" s="28" t="inlineStr">
        <x:is>
          <x:t xml:space="preserve"/>
        </x:is>
      </x:c>
      <x:c r="D64" s="9" t="inlineStr">
        <x:is>
          <x:t xml:space="preserve"/>
        </x:is>
      </x:c>
      <x:c r="E64" s="9" t="inlineStr">
        <x:is>
          <x:t xml:space="preserve"/>
        </x:is>
      </x:c>
      <x:c r="F64" s="18">
        <x:f>IF(OR(C64="",D64=""),"",C64*D64)</x:f>
      </x:c>
      <x:c r="G64" s="18">
        <x:f>IF(OR(C64="",E64=""),"",C64*E64)</x:f>
      </x:c>
      <x:c r="H64" s="18">
        <x:f>IF(OR(F64="",G64=""),"",F64-G64)</x:f>
      </x:c>
      <x:c r="I64" s="30">
        <x:f>IF(A64="","",DATE(YEAR(A64),MONTH(A64),1))</x:f>
      </x:c>
    </x:row>
    <x:row r="65">
      <x:c r="A65" s="29" t="inlineStr">
        <x:is>
          <x:t xml:space="preserve"/>
        </x:is>
      </x:c>
      <x:c r="B65" s="24" t="inlineStr">
        <x:is>
          <x:t xml:space="preserve"/>
        </x:is>
      </x:c>
      <x:c r="C65" s="28" t="inlineStr">
        <x:is>
          <x:t xml:space="preserve"/>
        </x:is>
      </x:c>
      <x:c r="D65" s="9" t="inlineStr">
        <x:is>
          <x:t xml:space="preserve"/>
        </x:is>
      </x:c>
      <x:c r="E65" s="9" t="inlineStr">
        <x:is>
          <x:t xml:space="preserve"/>
        </x:is>
      </x:c>
      <x:c r="F65" s="18">
        <x:f>IF(OR(C65="",D65=""),"",C65*D65)</x:f>
      </x:c>
      <x:c r="G65" s="18">
        <x:f>IF(OR(C65="",E65=""),"",C65*E65)</x:f>
      </x:c>
      <x:c r="H65" s="18">
        <x:f>IF(OR(F65="",G65=""),"",F65-G65)</x:f>
      </x:c>
      <x:c r="I65" s="30">
        <x:f>IF(A65="","",DATE(YEAR(A65),MONTH(A65),1))</x:f>
      </x:c>
    </x:row>
    <x:row r="66">
      <x:c r="A66" s="29" t="inlineStr">
        <x:is>
          <x:t xml:space="preserve"/>
        </x:is>
      </x:c>
      <x:c r="B66" s="24" t="inlineStr">
        <x:is>
          <x:t xml:space="preserve"/>
        </x:is>
      </x:c>
      <x:c r="C66" s="28" t="inlineStr">
        <x:is>
          <x:t xml:space="preserve"/>
        </x:is>
      </x:c>
      <x:c r="D66" s="9" t="inlineStr">
        <x:is>
          <x:t xml:space="preserve"/>
        </x:is>
      </x:c>
      <x:c r="E66" s="9" t="inlineStr">
        <x:is>
          <x:t xml:space="preserve"/>
        </x:is>
      </x:c>
      <x:c r="F66" s="18">
        <x:f>IF(OR(C66="",D66=""),"",C66*D66)</x:f>
      </x:c>
      <x:c r="G66" s="18">
        <x:f>IF(OR(C66="",E66=""),"",C66*E66)</x:f>
      </x:c>
      <x:c r="H66" s="18">
        <x:f>IF(OR(F66="",G66=""),"",F66-G66)</x:f>
      </x:c>
      <x:c r="I66" s="30">
        <x:f>IF(A66="","",DATE(YEAR(A66),MONTH(A66),1))</x:f>
      </x:c>
    </x:row>
    <x:row r="67">
      <x:c r="A67" s="29" t="inlineStr">
        <x:is>
          <x:t xml:space="preserve"/>
        </x:is>
      </x:c>
      <x:c r="B67" s="24" t="inlineStr">
        <x:is>
          <x:t xml:space="preserve"/>
        </x:is>
      </x:c>
      <x:c r="C67" s="28" t="inlineStr">
        <x:is>
          <x:t xml:space="preserve"/>
        </x:is>
      </x:c>
      <x:c r="D67" s="9" t="inlineStr">
        <x:is>
          <x:t xml:space="preserve"/>
        </x:is>
      </x:c>
      <x:c r="E67" s="9" t="inlineStr">
        <x:is>
          <x:t xml:space="preserve"/>
        </x:is>
      </x:c>
      <x:c r="F67" s="18">
        <x:f>IF(OR(C67="",D67=""),"",C67*D67)</x:f>
      </x:c>
      <x:c r="G67" s="18">
        <x:f>IF(OR(C67="",E67=""),"",C67*E67)</x:f>
      </x:c>
      <x:c r="H67" s="18">
        <x:f>IF(OR(F67="",G67=""),"",F67-G67)</x:f>
      </x:c>
      <x:c r="I67" s="30">
        <x:f>IF(A67="","",DATE(YEAR(A67),MONTH(A67),1))</x:f>
      </x:c>
    </x:row>
    <x:row r="68">
      <x:c r="A68" s="29" t="inlineStr">
        <x:is>
          <x:t xml:space="preserve"/>
        </x:is>
      </x:c>
      <x:c r="B68" s="24" t="inlineStr">
        <x:is>
          <x:t xml:space="preserve"/>
        </x:is>
      </x:c>
      <x:c r="C68" s="28" t="inlineStr">
        <x:is>
          <x:t xml:space="preserve"/>
        </x:is>
      </x:c>
      <x:c r="D68" s="9" t="inlineStr">
        <x:is>
          <x:t xml:space="preserve"/>
        </x:is>
      </x:c>
      <x:c r="E68" s="9" t="inlineStr">
        <x:is>
          <x:t xml:space="preserve"/>
        </x:is>
      </x:c>
      <x:c r="F68" s="18">
        <x:f>IF(OR(C68="",D68=""),"",C68*D68)</x:f>
      </x:c>
      <x:c r="G68" s="18">
        <x:f>IF(OR(C68="",E68=""),"",C68*E68)</x:f>
      </x:c>
      <x:c r="H68" s="18">
        <x:f>IF(OR(F68="",G68=""),"",F68-G68)</x:f>
      </x:c>
      <x:c r="I68" s="30">
        <x:f>IF(A68="","",DATE(YEAR(A68),MONTH(A68),1))</x:f>
      </x:c>
    </x:row>
    <x:row r="69">
      <x:c r="A69" s="29" t="inlineStr">
        <x:is>
          <x:t xml:space="preserve"/>
        </x:is>
      </x:c>
      <x:c r="B69" s="24" t="inlineStr">
        <x:is>
          <x:t xml:space="preserve"/>
        </x:is>
      </x:c>
      <x:c r="C69" s="28" t="inlineStr">
        <x:is>
          <x:t xml:space="preserve"/>
        </x:is>
      </x:c>
      <x:c r="D69" s="9" t="inlineStr">
        <x:is>
          <x:t xml:space="preserve"/>
        </x:is>
      </x:c>
      <x:c r="E69" s="9" t="inlineStr">
        <x:is>
          <x:t xml:space="preserve"/>
        </x:is>
      </x:c>
      <x:c r="F69" s="18">
        <x:f>IF(OR(C69="",D69=""),"",C69*D69)</x:f>
      </x:c>
      <x:c r="G69" s="18">
        <x:f>IF(OR(C69="",E69=""),"",C69*E69)</x:f>
      </x:c>
      <x:c r="H69" s="18">
        <x:f>IF(OR(F69="",G69=""),"",F69-G69)</x:f>
      </x:c>
      <x:c r="I69" s="30">
        <x:f>IF(A69="","",DATE(YEAR(A69),MONTH(A69),1))</x:f>
      </x:c>
    </x:row>
    <x:row r="70">
      <x:c r="A70" s="29" t="inlineStr">
        <x:is>
          <x:t xml:space="preserve"/>
        </x:is>
      </x:c>
      <x:c r="B70" s="24" t="inlineStr">
        <x:is>
          <x:t xml:space="preserve"/>
        </x:is>
      </x:c>
      <x:c r="C70" s="28" t="inlineStr">
        <x:is>
          <x:t xml:space="preserve"/>
        </x:is>
      </x:c>
      <x:c r="D70" s="9" t="inlineStr">
        <x:is>
          <x:t xml:space="preserve"/>
        </x:is>
      </x:c>
      <x:c r="E70" s="9" t="inlineStr">
        <x:is>
          <x:t xml:space="preserve"/>
        </x:is>
      </x:c>
      <x:c r="F70" s="18">
        <x:f>IF(OR(C70="",D70=""),"",C70*D70)</x:f>
      </x:c>
      <x:c r="G70" s="18">
        <x:f>IF(OR(C70="",E70=""),"",C70*E70)</x:f>
      </x:c>
      <x:c r="H70" s="18">
        <x:f>IF(OR(F70="",G70=""),"",F70-G70)</x:f>
      </x:c>
      <x:c r="I70" s="30">
        <x:f>IF(A70="","",DATE(YEAR(A70),MONTH(A70),1))</x:f>
      </x:c>
    </x:row>
    <x:row r="71">
      <x:c r="A71" s="29" t="inlineStr">
        <x:is>
          <x:t xml:space="preserve"/>
        </x:is>
      </x:c>
      <x:c r="B71" s="24" t="inlineStr">
        <x:is>
          <x:t xml:space="preserve"/>
        </x:is>
      </x:c>
      <x:c r="C71" s="28" t="inlineStr">
        <x:is>
          <x:t xml:space="preserve"/>
        </x:is>
      </x:c>
      <x:c r="D71" s="9" t="inlineStr">
        <x:is>
          <x:t xml:space="preserve"/>
        </x:is>
      </x:c>
      <x:c r="E71" s="9" t="inlineStr">
        <x:is>
          <x:t xml:space="preserve"/>
        </x:is>
      </x:c>
      <x:c r="F71" s="18">
        <x:f>IF(OR(C71="",D71=""),"",C71*D71)</x:f>
      </x:c>
      <x:c r="G71" s="18">
        <x:f>IF(OR(C71="",E71=""),"",C71*E71)</x:f>
      </x:c>
      <x:c r="H71" s="18">
        <x:f>IF(OR(F71="",G71=""),"",F71-G71)</x:f>
      </x:c>
      <x:c r="I71" s="30">
        <x:f>IF(A71="","",DATE(YEAR(A71),MONTH(A71),1))</x:f>
      </x:c>
    </x:row>
    <x:row r="72">
      <x:c r="A72" s="29" t="inlineStr">
        <x:is>
          <x:t xml:space="preserve"/>
        </x:is>
      </x:c>
      <x:c r="B72" s="24" t="inlineStr">
        <x:is>
          <x:t xml:space="preserve"/>
        </x:is>
      </x:c>
      <x:c r="C72" s="28" t="inlineStr">
        <x:is>
          <x:t xml:space="preserve"/>
        </x:is>
      </x:c>
      <x:c r="D72" s="9" t="inlineStr">
        <x:is>
          <x:t xml:space="preserve"/>
        </x:is>
      </x:c>
      <x:c r="E72" s="9" t="inlineStr">
        <x:is>
          <x:t xml:space="preserve"/>
        </x:is>
      </x:c>
      <x:c r="F72" s="18">
        <x:f>IF(OR(C72="",D72=""),"",C72*D72)</x:f>
      </x:c>
      <x:c r="G72" s="18">
        <x:f>IF(OR(C72="",E72=""),"",C72*E72)</x:f>
      </x:c>
      <x:c r="H72" s="18">
        <x:f>IF(OR(F72="",G72=""),"",F72-G72)</x:f>
      </x:c>
      <x:c r="I72" s="30">
        <x:f>IF(A72="","",DATE(YEAR(A72),MONTH(A72),1))</x:f>
      </x:c>
    </x:row>
    <x:row r="73">
      <x:c r="A73" s="29" t="inlineStr">
        <x:is>
          <x:t xml:space="preserve"/>
        </x:is>
      </x:c>
      <x:c r="B73" s="24" t="inlineStr">
        <x:is>
          <x:t xml:space="preserve"/>
        </x:is>
      </x:c>
      <x:c r="C73" s="28" t="inlineStr">
        <x:is>
          <x:t xml:space="preserve"/>
        </x:is>
      </x:c>
      <x:c r="D73" s="9" t="inlineStr">
        <x:is>
          <x:t xml:space="preserve"/>
        </x:is>
      </x:c>
      <x:c r="E73" s="9" t="inlineStr">
        <x:is>
          <x:t xml:space="preserve"/>
        </x:is>
      </x:c>
      <x:c r="F73" s="18">
        <x:f>IF(OR(C73="",D73=""),"",C73*D73)</x:f>
      </x:c>
      <x:c r="G73" s="18">
        <x:f>IF(OR(C73="",E73=""),"",C73*E73)</x:f>
      </x:c>
      <x:c r="H73" s="18">
        <x:f>IF(OR(F73="",G73=""),"",F73-G73)</x:f>
      </x:c>
      <x:c r="I73" s="30">
        <x:f>IF(A73="","",DATE(YEAR(A73),MONTH(A73),1))</x:f>
      </x:c>
    </x:row>
    <x:row r="74">
      <x:c r="A74" s="29" t="inlineStr">
        <x:is>
          <x:t xml:space="preserve"/>
        </x:is>
      </x:c>
      <x:c r="B74" s="24" t="inlineStr">
        <x:is>
          <x:t xml:space="preserve"/>
        </x:is>
      </x:c>
      <x:c r="C74" s="28" t="inlineStr">
        <x:is>
          <x:t xml:space="preserve"/>
        </x:is>
      </x:c>
      <x:c r="D74" s="9" t="inlineStr">
        <x:is>
          <x:t xml:space="preserve"/>
        </x:is>
      </x:c>
      <x:c r="E74" s="9" t="inlineStr">
        <x:is>
          <x:t xml:space="preserve"/>
        </x:is>
      </x:c>
      <x:c r="F74" s="18">
        <x:f>IF(OR(C74="",D74=""),"",C74*D74)</x:f>
      </x:c>
      <x:c r="G74" s="18">
        <x:f>IF(OR(C74="",E74=""),"",C74*E74)</x:f>
      </x:c>
      <x:c r="H74" s="18">
        <x:f>IF(OR(F74="",G74=""),"",F74-G74)</x:f>
      </x:c>
      <x:c r="I74" s="30">
        <x:f>IF(A74="","",DATE(YEAR(A74),MONTH(A74),1))</x:f>
      </x:c>
    </x:row>
    <x:row r="75">
      <x:c r="A75" s="29" t="inlineStr">
        <x:is>
          <x:t xml:space="preserve"/>
        </x:is>
      </x:c>
      <x:c r="B75" s="24" t="inlineStr">
        <x:is>
          <x:t xml:space="preserve"/>
        </x:is>
      </x:c>
      <x:c r="C75" s="28" t="inlineStr">
        <x:is>
          <x:t xml:space="preserve"/>
        </x:is>
      </x:c>
      <x:c r="D75" s="9" t="inlineStr">
        <x:is>
          <x:t xml:space="preserve"/>
        </x:is>
      </x:c>
      <x:c r="E75" s="9" t="inlineStr">
        <x:is>
          <x:t xml:space="preserve"/>
        </x:is>
      </x:c>
      <x:c r="F75" s="18">
        <x:f>IF(OR(C75="",D75=""),"",C75*D75)</x:f>
      </x:c>
      <x:c r="G75" s="18">
        <x:f>IF(OR(C75="",E75=""),"",C75*E75)</x:f>
      </x:c>
      <x:c r="H75" s="18">
        <x:f>IF(OR(F75="",G75=""),"",F75-G75)</x:f>
      </x:c>
      <x:c r="I75" s="30">
        <x:f>IF(A75="","",DATE(YEAR(A75),MONTH(A75),1))</x:f>
      </x:c>
    </x:row>
    <x:row r="76">
      <x:c r="A76" s="29" t="inlineStr">
        <x:is>
          <x:t xml:space="preserve"/>
        </x:is>
      </x:c>
      <x:c r="B76" s="24" t="inlineStr">
        <x:is>
          <x:t xml:space="preserve"/>
        </x:is>
      </x:c>
      <x:c r="C76" s="28" t="inlineStr">
        <x:is>
          <x:t xml:space="preserve"/>
        </x:is>
      </x:c>
      <x:c r="D76" s="9" t="inlineStr">
        <x:is>
          <x:t xml:space="preserve"/>
        </x:is>
      </x:c>
      <x:c r="E76" s="9" t="inlineStr">
        <x:is>
          <x:t xml:space="preserve"/>
        </x:is>
      </x:c>
      <x:c r="F76" s="18">
        <x:f>IF(OR(C76="",D76=""),"",C76*D76)</x:f>
      </x:c>
      <x:c r="G76" s="18">
        <x:f>IF(OR(C76="",E76=""),"",C76*E76)</x:f>
      </x:c>
      <x:c r="H76" s="18">
        <x:f>IF(OR(F76="",G76=""),"",F76-G76)</x:f>
      </x:c>
      <x:c r="I76" s="30">
        <x:f>IF(A76="","",DATE(YEAR(A76),MONTH(A76),1))</x:f>
      </x:c>
    </x:row>
    <x:row r="77">
      <x:c r="A77" s="29" t="inlineStr">
        <x:is>
          <x:t xml:space="preserve"/>
        </x:is>
      </x:c>
      <x:c r="B77" s="24" t="inlineStr">
        <x:is>
          <x:t xml:space="preserve"/>
        </x:is>
      </x:c>
      <x:c r="C77" s="28" t="inlineStr">
        <x:is>
          <x:t xml:space="preserve"/>
        </x:is>
      </x:c>
      <x:c r="D77" s="9" t="inlineStr">
        <x:is>
          <x:t xml:space="preserve"/>
        </x:is>
      </x:c>
      <x:c r="E77" s="9" t="inlineStr">
        <x:is>
          <x:t xml:space="preserve"/>
        </x:is>
      </x:c>
      <x:c r="F77" s="18">
        <x:f>IF(OR(C77="",D77=""),"",C77*D77)</x:f>
      </x:c>
      <x:c r="G77" s="18">
        <x:f>IF(OR(C77="",E77=""),"",C77*E77)</x:f>
      </x:c>
      <x:c r="H77" s="18">
        <x:f>IF(OR(F77="",G77=""),"",F77-G77)</x:f>
      </x:c>
      <x:c r="I77" s="30">
        <x:f>IF(A77="","",DATE(YEAR(A77),MONTH(A77),1))</x:f>
      </x:c>
    </x:row>
    <x:row r="78">
      <x:c r="A78" s="29" t="inlineStr">
        <x:is>
          <x:t xml:space="preserve"/>
        </x:is>
      </x:c>
      <x:c r="B78" s="24" t="inlineStr">
        <x:is>
          <x:t xml:space="preserve"/>
        </x:is>
      </x:c>
      <x:c r="C78" s="28" t="inlineStr">
        <x:is>
          <x:t xml:space="preserve"/>
        </x:is>
      </x:c>
      <x:c r="D78" s="9" t="inlineStr">
        <x:is>
          <x:t xml:space="preserve"/>
        </x:is>
      </x:c>
      <x:c r="E78" s="9" t="inlineStr">
        <x:is>
          <x:t xml:space="preserve"/>
        </x:is>
      </x:c>
      <x:c r="F78" s="18">
        <x:f>IF(OR(C78="",D78=""),"",C78*D78)</x:f>
      </x:c>
      <x:c r="G78" s="18">
        <x:f>IF(OR(C78="",E78=""),"",C78*E78)</x:f>
      </x:c>
      <x:c r="H78" s="18">
        <x:f>IF(OR(F78="",G78=""),"",F78-G78)</x:f>
      </x:c>
      <x:c r="I78" s="30">
        <x:f>IF(A78="","",DATE(YEAR(A78),MONTH(A78),1))</x:f>
      </x:c>
    </x:row>
    <x:row r="79">
      <x:c r="A79" s="29" t="inlineStr">
        <x:is>
          <x:t xml:space="preserve"/>
        </x:is>
      </x:c>
      <x:c r="B79" s="24" t="inlineStr">
        <x:is>
          <x:t xml:space="preserve"/>
        </x:is>
      </x:c>
      <x:c r="C79" s="28" t="inlineStr">
        <x:is>
          <x:t xml:space="preserve"/>
        </x:is>
      </x:c>
      <x:c r="D79" s="9" t="inlineStr">
        <x:is>
          <x:t xml:space="preserve"/>
        </x:is>
      </x:c>
      <x:c r="E79" s="9" t="inlineStr">
        <x:is>
          <x:t xml:space="preserve"/>
        </x:is>
      </x:c>
      <x:c r="F79" s="18">
        <x:f>IF(OR(C79="",D79=""),"",C79*D79)</x:f>
      </x:c>
      <x:c r="G79" s="18">
        <x:f>IF(OR(C79="",E79=""),"",C79*E79)</x:f>
      </x:c>
      <x:c r="H79" s="18">
        <x:f>IF(OR(F79="",G79=""),"",F79-G79)</x:f>
      </x:c>
      <x:c r="I79" s="30">
        <x:f>IF(A79="","",DATE(YEAR(A79),MONTH(A79),1))</x:f>
      </x:c>
    </x:row>
    <x:row r="80">
      <x:c r="A80" s="29" t="inlineStr">
        <x:is>
          <x:t xml:space="preserve"/>
        </x:is>
      </x:c>
      <x:c r="B80" s="24" t="inlineStr">
        <x:is>
          <x:t xml:space="preserve"/>
        </x:is>
      </x:c>
      <x:c r="C80" s="28" t="inlineStr">
        <x:is>
          <x:t xml:space="preserve"/>
        </x:is>
      </x:c>
      <x:c r="D80" s="9" t="inlineStr">
        <x:is>
          <x:t xml:space="preserve"/>
        </x:is>
      </x:c>
      <x:c r="E80" s="9" t="inlineStr">
        <x:is>
          <x:t xml:space="preserve"/>
        </x:is>
      </x:c>
      <x:c r="F80" s="18">
        <x:f>IF(OR(C80="",D80=""),"",C80*D80)</x:f>
      </x:c>
      <x:c r="G80" s="18">
        <x:f>IF(OR(C80="",E80=""),"",C80*E80)</x:f>
      </x:c>
      <x:c r="H80" s="18">
        <x:f>IF(OR(F80="",G80=""),"",F80-G80)</x:f>
      </x:c>
      <x:c r="I80" s="30">
        <x:f>IF(A80="","",DATE(YEAR(A80),MONTH(A80),1))</x:f>
      </x:c>
    </x:row>
    <x:row r="81">
      <x:c r="A81" s="29" t="inlineStr">
        <x:is>
          <x:t xml:space="preserve"/>
        </x:is>
      </x:c>
      <x:c r="B81" s="24" t="inlineStr">
        <x:is>
          <x:t xml:space="preserve"/>
        </x:is>
      </x:c>
      <x:c r="C81" s="28" t="inlineStr">
        <x:is>
          <x:t xml:space="preserve"/>
        </x:is>
      </x:c>
      <x:c r="D81" s="9" t="inlineStr">
        <x:is>
          <x:t xml:space="preserve"/>
        </x:is>
      </x:c>
      <x:c r="E81" s="9" t="inlineStr">
        <x:is>
          <x:t xml:space="preserve"/>
        </x:is>
      </x:c>
      <x:c r="F81" s="18">
        <x:f>IF(OR(C81="",D81=""),"",C81*D81)</x:f>
      </x:c>
      <x:c r="G81" s="18">
        <x:f>IF(OR(C81="",E81=""),"",C81*E81)</x:f>
      </x:c>
      <x:c r="H81" s="18">
        <x:f>IF(OR(F81="",G81=""),"",F81-G81)</x:f>
      </x:c>
      <x:c r="I81" s="30">
        <x:f>IF(A81="","",DATE(YEAR(A81),MONTH(A81),1))</x:f>
      </x:c>
    </x:row>
    <x:row r="82">
      <x:c r="A82" s="29" t="inlineStr">
        <x:is>
          <x:t xml:space="preserve"/>
        </x:is>
      </x:c>
      <x:c r="B82" s="24" t="inlineStr">
        <x:is>
          <x:t xml:space="preserve"/>
        </x:is>
      </x:c>
      <x:c r="C82" s="28" t="inlineStr">
        <x:is>
          <x:t xml:space="preserve"/>
        </x:is>
      </x:c>
      <x:c r="D82" s="9" t="inlineStr">
        <x:is>
          <x:t xml:space="preserve"/>
        </x:is>
      </x:c>
      <x:c r="E82" s="9" t="inlineStr">
        <x:is>
          <x:t xml:space="preserve"/>
        </x:is>
      </x:c>
      <x:c r="F82" s="18">
        <x:f>IF(OR(C82="",D82=""),"",C82*D82)</x:f>
      </x:c>
      <x:c r="G82" s="18">
        <x:f>IF(OR(C82="",E82=""),"",C82*E82)</x:f>
      </x:c>
      <x:c r="H82" s="18">
        <x:f>IF(OR(F82="",G82=""),"",F82-G82)</x:f>
      </x:c>
      <x:c r="I82" s="30">
        <x:f>IF(A82="","",DATE(YEAR(A82),MONTH(A82),1))</x:f>
      </x:c>
    </x:row>
    <x:row r="83">
      <x:c r="A83" s="29" t="inlineStr">
        <x:is>
          <x:t xml:space="preserve"/>
        </x:is>
      </x:c>
      <x:c r="B83" s="24" t="inlineStr">
        <x:is>
          <x:t xml:space="preserve"/>
        </x:is>
      </x:c>
      <x:c r="C83" s="28" t="inlineStr">
        <x:is>
          <x:t xml:space="preserve"/>
        </x:is>
      </x:c>
      <x:c r="D83" s="9" t="inlineStr">
        <x:is>
          <x:t xml:space="preserve"/>
        </x:is>
      </x:c>
      <x:c r="E83" s="9" t="inlineStr">
        <x:is>
          <x:t xml:space="preserve"/>
        </x:is>
      </x:c>
      <x:c r="F83" s="18">
        <x:f>IF(OR(C83="",D83=""),"",C83*D83)</x:f>
      </x:c>
      <x:c r="G83" s="18">
        <x:f>IF(OR(C83="",E83=""),"",C83*E83)</x:f>
      </x:c>
      <x:c r="H83" s="18">
        <x:f>IF(OR(F83="",G83=""),"",F83-G83)</x:f>
      </x:c>
      <x:c r="I83" s="30">
        <x:f>IF(A83="","",DATE(YEAR(A83),MONTH(A83),1))</x:f>
      </x:c>
    </x:row>
    <x:row r="84">
      <x:c r="A84" s="29" t="inlineStr">
        <x:is>
          <x:t xml:space="preserve"/>
        </x:is>
      </x:c>
      <x:c r="B84" s="24" t="inlineStr">
        <x:is>
          <x:t xml:space="preserve"/>
        </x:is>
      </x:c>
      <x:c r="C84" s="28" t="inlineStr">
        <x:is>
          <x:t xml:space="preserve"/>
        </x:is>
      </x:c>
      <x:c r="D84" s="9" t="inlineStr">
        <x:is>
          <x:t xml:space="preserve"/>
        </x:is>
      </x:c>
      <x:c r="E84" s="9" t="inlineStr">
        <x:is>
          <x:t xml:space="preserve"/>
        </x:is>
      </x:c>
      <x:c r="F84" s="18">
        <x:f>IF(OR(C84="",D84=""),"",C84*D84)</x:f>
      </x:c>
      <x:c r="G84" s="18">
        <x:f>IF(OR(C84="",E84=""),"",C84*E84)</x:f>
      </x:c>
      <x:c r="H84" s="18">
        <x:f>IF(OR(F84="",G84=""),"",F84-G84)</x:f>
      </x:c>
      <x:c r="I84" s="30">
        <x:f>IF(A84="","",DATE(YEAR(A84),MONTH(A84),1))</x:f>
      </x:c>
    </x:row>
    <x:row r="85">
      <x:c r="A85" s="29" t="inlineStr">
        <x:is>
          <x:t xml:space="preserve"/>
        </x:is>
      </x:c>
      <x:c r="B85" s="24" t="inlineStr">
        <x:is>
          <x:t xml:space="preserve"/>
        </x:is>
      </x:c>
      <x:c r="C85" s="28" t="inlineStr">
        <x:is>
          <x:t xml:space="preserve"/>
        </x:is>
      </x:c>
      <x:c r="D85" s="9" t="inlineStr">
        <x:is>
          <x:t xml:space="preserve"/>
        </x:is>
      </x:c>
      <x:c r="E85" s="9" t="inlineStr">
        <x:is>
          <x:t xml:space="preserve"/>
        </x:is>
      </x:c>
      <x:c r="F85" s="18">
        <x:f>IF(OR(C85="",D85=""),"",C85*D85)</x:f>
      </x:c>
      <x:c r="G85" s="18">
        <x:f>IF(OR(C85="",E85=""),"",C85*E85)</x:f>
      </x:c>
      <x:c r="H85" s="18">
        <x:f>IF(OR(F85="",G85=""),"",F85-G85)</x:f>
      </x:c>
      <x:c r="I85" s="30">
        <x:f>IF(A85="","",DATE(YEAR(A85),MONTH(A85),1))</x:f>
      </x:c>
    </x:row>
    <x:row r="86">
      <x:c r="A86" s="29" t="inlineStr">
        <x:is>
          <x:t xml:space="preserve"/>
        </x:is>
      </x:c>
      <x:c r="B86" s="24" t="inlineStr">
        <x:is>
          <x:t xml:space="preserve"/>
        </x:is>
      </x:c>
      <x:c r="C86" s="28" t="inlineStr">
        <x:is>
          <x:t xml:space="preserve"/>
        </x:is>
      </x:c>
      <x:c r="D86" s="9" t="inlineStr">
        <x:is>
          <x:t xml:space="preserve"/>
        </x:is>
      </x:c>
      <x:c r="E86" s="9" t="inlineStr">
        <x:is>
          <x:t xml:space="preserve"/>
        </x:is>
      </x:c>
      <x:c r="F86" s="18">
        <x:f>IF(OR(C86="",D86=""),"",C86*D86)</x:f>
      </x:c>
      <x:c r="G86" s="18">
        <x:f>IF(OR(C86="",E86=""),"",C86*E86)</x:f>
      </x:c>
      <x:c r="H86" s="18">
        <x:f>IF(OR(F86="",G86=""),"",F86-G86)</x:f>
      </x:c>
      <x:c r="I86" s="30">
        <x:f>IF(A86="","",DATE(YEAR(A86),MONTH(A86),1))</x:f>
      </x:c>
    </x:row>
    <x:row r="87">
      <x:c r="A87" s="29" t="inlineStr">
        <x:is>
          <x:t xml:space="preserve"/>
        </x:is>
      </x:c>
      <x:c r="B87" s="24" t="inlineStr">
        <x:is>
          <x:t xml:space="preserve"/>
        </x:is>
      </x:c>
      <x:c r="C87" s="28" t="inlineStr">
        <x:is>
          <x:t xml:space="preserve"/>
        </x:is>
      </x:c>
      <x:c r="D87" s="9" t="inlineStr">
        <x:is>
          <x:t xml:space="preserve"/>
        </x:is>
      </x:c>
      <x:c r="E87" s="9" t="inlineStr">
        <x:is>
          <x:t xml:space="preserve"/>
        </x:is>
      </x:c>
      <x:c r="F87" s="18">
        <x:f>IF(OR(C87="",D87=""),"",C87*D87)</x:f>
      </x:c>
      <x:c r="G87" s="18">
        <x:f>IF(OR(C87="",E87=""),"",C87*E87)</x:f>
      </x:c>
      <x:c r="H87" s="18">
        <x:f>IF(OR(F87="",G87=""),"",F87-G87)</x:f>
      </x:c>
      <x:c r="I87" s="30">
        <x:f>IF(A87="","",DATE(YEAR(A87),MONTH(A87),1))</x:f>
      </x:c>
    </x:row>
    <x:row r="88">
      <x:c r="A88" s="29" t="inlineStr">
        <x:is>
          <x:t xml:space="preserve"/>
        </x:is>
      </x:c>
      <x:c r="B88" s="24" t="inlineStr">
        <x:is>
          <x:t xml:space="preserve"/>
        </x:is>
      </x:c>
      <x:c r="C88" s="28" t="inlineStr">
        <x:is>
          <x:t xml:space="preserve"/>
        </x:is>
      </x:c>
      <x:c r="D88" s="9" t="inlineStr">
        <x:is>
          <x:t xml:space="preserve"/>
        </x:is>
      </x:c>
      <x:c r="E88" s="9" t="inlineStr">
        <x:is>
          <x:t xml:space="preserve"/>
        </x:is>
      </x:c>
      <x:c r="F88" s="18">
        <x:f>IF(OR(C88="",D88=""),"",C88*D88)</x:f>
      </x:c>
      <x:c r="G88" s="18">
        <x:f>IF(OR(C88="",E88=""),"",C88*E88)</x:f>
      </x:c>
      <x:c r="H88" s="18">
        <x:f>IF(OR(F88="",G88=""),"",F88-G88)</x:f>
      </x:c>
      <x:c r="I88" s="30">
        <x:f>IF(A88="","",DATE(YEAR(A88),MONTH(A88),1))</x:f>
      </x:c>
    </x:row>
    <x:row r="89">
      <x:c r="A89" s="29" t="inlineStr">
        <x:is>
          <x:t xml:space="preserve"/>
        </x:is>
      </x:c>
      <x:c r="B89" s="24" t="inlineStr">
        <x:is>
          <x:t xml:space="preserve"/>
        </x:is>
      </x:c>
      <x:c r="C89" s="28" t="inlineStr">
        <x:is>
          <x:t xml:space="preserve"/>
        </x:is>
      </x:c>
      <x:c r="D89" s="9" t="inlineStr">
        <x:is>
          <x:t xml:space="preserve"/>
        </x:is>
      </x:c>
      <x:c r="E89" s="9" t="inlineStr">
        <x:is>
          <x:t xml:space="preserve"/>
        </x:is>
      </x:c>
      <x:c r="F89" s="18">
        <x:f>IF(OR(C89="",D89=""),"",C89*D89)</x:f>
      </x:c>
      <x:c r="G89" s="18">
        <x:f>IF(OR(C89="",E89=""),"",C89*E89)</x:f>
      </x:c>
      <x:c r="H89" s="18">
        <x:f>IF(OR(F89="",G89=""),"",F89-G89)</x:f>
      </x:c>
      <x:c r="I89" s="30">
        <x:f>IF(A89="","",DATE(YEAR(A89),MONTH(A89),1))</x:f>
      </x:c>
    </x:row>
    <x:row r="90">
      <x:c r="A90" s="29" t="inlineStr">
        <x:is>
          <x:t xml:space="preserve"/>
        </x:is>
      </x:c>
      <x:c r="B90" s="24" t="inlineStr">
        <x:is>
          <x:t xml:space="preserve"/>
        </x:is>
      </x:c>
      <x:c r="C90" s="28" t="inlineStr">
        <x:is>
          <x:t xml:space="preserve"/>
        </x:is>
      </x:c>
      <x:c r="D90" s="9" t="inlineStr">
        <x:is>
          <x:t xml:space="preserve"/>
        </x:is>
      </x:c>
      <x:c r="E90" s="9" t="inlineStr">
        <x:is>
          <x:t xml:space="preserve"/>
        </x:is>
      </x:c>
      <x:c r="F90" s="18">
        <x:f>IF(OR(C90="",D90=""),"",C90*D90)</x:f>
      </x:c>
      <x:c r="G90" s="18">
        <x:f>IF(OR(C90="",E90=""),"",C90*E90)</x:f>
      </x:c>
      <x:c r="H90" s="18">
        <x:f>IF(OR(F90="",G90=""),"",F90-G90)</x:f>
      </x:c>
      <x:c r="I90" s="30">
        <x:f>IF(A90="","",DATE(YEAR(A90),MONTH(A90),1))</x:f>
      </x:c>
    </x:row>
    <x:row r="91">
      <x:c r="A91" s="29" t="inlineStr">
        <x:is>
          <x:t xml:space="preserve"/>
        </x:is>
      </x:c>
      <x:c r="B91" s="24" t="inlineStr">
        <x:is>
          <x:t xml:space="preserve"/>
        </x:is>
      </x:c>
      <x:c r="C91" s="28" t="inlineStr">
        <x:is>
          <x:t xml:space="preserve"/>
        </x:is>
      </x:c>
      <x:c r="D91" s="9" t="inlineStr">
        <x:is>
          <x:t xml:space="preserve"/>
        </x:is>
      </x:c>
      <x:c r="E91" s="9" t="inlineStr">
        <x:is>
          <x:t xml:space="preserve"/>
        </x:is>
      </x:c>
      <x:c r="F91" s="18">
        <x:f>IF(OR(C91="",D91=""),"",C91*D91)</x:f>
      </x:c>
      <x:c r="G91" s="18">
        <x:f>IF(OR(C91="",E91=""),"",C91*E91)</x:f>
      </x:c>
      <x:c r="H91" s="18">
        <x:f>IF(OR(F91="",G91=""),"",F91-G91)</x:f>
      </x:c>
      <x:c r="I91" s="30">
        <x:f>IF(A91="","",DATE(YEAR(A91),MONTH(A91),1))</x:f>
      </x:c>
    </x:row>
    <x:row r="92">
      <x:c r="A92" s="29" t="inlineStr">
        <x:is>
          <x:t xml:space="preserve"/>
        </x:is>
      </x:c>
      <x:c r="B92" s="24" t="inlineStr">
        <x:is>
          <x:t xml:space="preserve"/>
        </x:is>
      </x:c>
      <x:c r="C92" s="28" t="inlineStr">
        <x:is>
          <x:t xml:space="preserve"/>
        </x:is>
      </x:c>
      <x:c r="D92" s="9" t="inlineStr">
        <x:is>
          <x:t xml:space="preserve"/>
        </x:is>
      </x:c>
      <x:c r="E92" s="9" t="inlineStr">
        <x:is>
          <x:t xml:space="preserve"/>
        </x:is>
      </x:c>
      <x:c r="F92" s="18">
        <x:f>IF(OR(C92="",D92=""),"",C92*D92)</x:f>
      </x:c>
      <x:c r="G92" s="18">
        <x:f>IF(OR(C92="",E92=""),"",C92*E92)</x:f>
      </x:c>
      <x:c r="H92" s="18">
        <x:f>IF(OR(F92="",G92=""),"",F92-G92)</x:f>
      </x:c>
      <x:c r="I92" s="30">
        <x:f>IF(A92="","",DATE(YEAR(A92),MONTH(A92),1))</x:f>
      </x:c>
    </x:row>
    <x:row r="93">
      <x:c r="A93" s="29" t="inlineStr">
        <x:is>
          <x:t xml:space="preserve"/>
        </x:is>
      </x:c>
      <x:c r="B93" s="24" t="inlineStr">
        <x:is>
          <x:t xml:space="preserve"/>
        </x:is>
      </x:c>
      <x:c r="C93" s="28" t="inlineStr">
        <x:is>
          <x:t xml:space="preserve"/>
        </x:is>
      </x:c>
      <x:c r="D93" s="9" t="inlineStr">
        <x:is>
          <x:t xml:space="preserve"/>
        </x:is>
      </x:c>
      <x:c r="E93" s="9" t="inlineStr">
        <x:is>
          <x:t xml:space="preserve"/>
        </x:is>
      </x:c>
      <x:c r="F93" s="18">
        <x:f>IF(OR(C93="",D93=""),"",C93*D93)</x:f>
      </x:c>
      <x:c r="G93" s="18">
        <x:f>IF(OR(C93="",E93=""),"",C93*E93)</x:f>
      </x:c>
      <x:c r="H93" s="18">
        <x:f>IF(OR(F93="",G93=""),"",F93-G93)</x:f>
      </x:c>
      <x:c r="I93" s="30">
        <x:f>IF(A93="","",DATE(YEAR(A93),MONTH(A93),1))</x:f>
      </x:c>
    </x:row>
    <x:row r="94">
      <x:c r="A94" s="29" t="inlineStr">
        <x:is>
          <x:t xml:space="preserve"/>
        </x:is>
      </x:c>
      <x:c r="B94" s="24" t="inlineStr">
        <x:is>
          <x:t xml:space="preserve"/>
        </x:is>
      </x:c>
      <x:c r="C94" s="28" t="inlineStr">
        <x:is>
          <x:t xml:space="preserve"/>
        </x:is>
      </x:c>
      <x:c r="D94" s="9" t="inlineStr">
        <x:is>
          <x:t xml:space="preserve"/>
        </x:is>
      </x:c>
      <x:c r="E94" s="9" t="inlineStr">
        <x:is>
          <x:t xml:space="preserve"/>
        </x:is>
      </x:c>
      <x:c r="F94" s="18">
        <x:f>IF(OR(C94="",D94=""),"",C94*D94)</x:f>
      </x:c>
      <x:c r="G94" s="18">
        <x:f>IF(OR(C94="",E94=""),"",C94*E94)</x:f>
      </x:c>
      <x:c r="H94" s="18">
        <x:f>IF(OR(F94="",G94=""),"",F94-G94)</x:f>
      </x:c>
      <x:c r="I94" s="30">
        <x:f>IF(A94="","",DATE(YEAR(A94),MONTH(A94),1))</x:f>
      </x:c>
    </x:row>
    <x:row r="95">
      <x:c r="A95" s="29" t="inlineStr">
        <x:is>
          <x:t xml:space="preserve"/>
        </x:is>
      </x:c>
      <x:c r="B95" s="24" t="inlineStr">
        <x:is>
          <x:t xml:space="preserve"/>
        </x:is>
      </x:c>
      <x:c r="C95" s="28" t="inlineStr">
        <x:is>
          <x:t xml:space="preserve"/>
        </x:is>
      </x:c>
      <x:c r="D95" s="9" t="inlineStr">
        <x:is>
          <x:t xml:space="preserve"/>
        </x:is>
      </x:c>
      <x:c r="E95" s="9" t="inlineStr">
        <x:is>
          <x:t xml:space="preserve"/>
        </x:is>
      </x:c>
      <x:c r="F95" s="18">
        <x:f>IF(OR(C95="",D95=""),"",C95*D95)</x:f>
      </x:c>
      <x:c r="G95" s="18">
        <x:f>IF(OR(C95="",E95=""),"",C95*E95)</x:f>
      </x:c>
      <x:c r="H95" s="18">
        <x:f>IF(OR(F95="",G95=""),"",F95-G95)</x:f>
      </x:c>
      <x:c r="I95" s="30">
        <x:f>IF(A95="","",DATE(YEAR(A95),MONTH(A95),1))</x:f>
      </x:c>
    </x:row>
    <x:row r="96">
      <x:c r="A96" s="29" t="inlineStr">
        <x:is>
          <x:t xml:space="preserve"/>
        </x:is>
      </x:c>
      <x:c r="B96" s="24" t="inlineStr">
        <x:is>
          <x:t xml:space="preserve"/>
        </x:is>
      </x:c>
      <x:c r="C96" s="28" t="inlineStr">
        <x:is>
          <x:t xml:space="preserve"/>
        </x:is>
      </x:c>
      <x:c r="D96" s="9" t="inlineStr">
        <x:is>
          <x:t xml:space="preserve"/>
        </x:is>
      </x:c>
      <x:c r="E96" s="9" t="inlineStr">
        <x:is>
          <x:t xml:space="preserve"/>
        </x:is>
      </x:c>
      <x:c r="F96" s="18">
        <x:f>IF(OR(C96="",D96=""),"",C96*D96)</x:f>
      </x:c>
      <x:c r="G96" s="18">
        <x:f>IF(OR(C96="",E96=""),"",C96*E96)</x:f>
      </x:c>
      <x:c r="H96" s="18">
        <x:f>IF(OR(F96="",G96=""),"",F96-G96)</x:f>
      </x:c>
      <x:c r="I96" s="30">
        <x:f>IF(A96="","",DATE(YEAR(A96),MONTH(A96),1))</x:f>
      </x:c>
    </x:row>
    <x:row r="97">
      <x:c r="A97" s="29" t="inlineStr">
        <x:is>
          <x:t xml:space="preserve"/>
        </x:is>
      </x:c>
      <x:c r="B97" s="24" t="inlineStr">
        <x:is>
          <x:t xml:space="preserve"/>
        </x:is>
      </x:c>
      <x:c r="C97" s="28" t="inlineStr">
        <x:is>
          <x:t xml:space="preserve"/>
        </x:is>
      </x:c>
      <x:c r="D97" s="9" t="inlineStr">
        <x:is>
          <x:t xml:space="preserve"/>
        </x:is>
      </x:c>
      <x:c r="E97" s="9" t="inlineStr">
        <x:is>
          <x:t xml:space="preserve"/>
        </x:is>
      </x:c>
      <x:c r="F97" s="18">
        <x:f>IF(OR(C97="",D97=""),"",C97*D97)</x:f>
      </x:c>
      <x:c r="G97" s="18">
        <x:f>IF(OR(C97="",E97=""),"",C97*E97)</x:f>
      </x:c>
      <x:c r="H97" s="18">
        <x:f>IF(OR(F97="",G97=""),"",F97-G97)</x:f>
      </x:c>
      <x:c r="I97" s="30">
        <x:f>IF(A97="","",DATE(YEAR(A97),MONTH(A97),1))</x:f>
      </x:c>
    </x:row>
    <x:row r="98">
      <x:c r="A98" s="29" t="inlineStr">
        <x:is>
          <x:t xml:space="preserve"/>
        </x:is>
      </x:c>
      <x:c r="B98" s="24" t="inlineStr">
        <x:is>
          <x:t xml:space="preserve"/>
        </x:is>
      </x:c>
      <x:c r="C98" s="28" t="inlineStr">
        <x:is>
          <x:t xml:space="preserve"/>
        </x:is>
      </x:c>
      <x:c r="D98" s="9" t="inlineStr">
        <x:is>
          <x:t xml:space="preserve"/>
        </x:is>
      </x:c>
      <x:c r="E98" s="9" t="inlineStr">
        <x:is>
          <x:t xml:space="preserve"/>
        </x:is>
      </x:c>
      <x:c r="F98" s="18">
        <x:f>IF(OR(C98="",D98=""),"",C98*D98)</x:f>
      </x:c>
      <x:c r="G98" s="18">
        <x:f>IF(OR(C98="",E98=""),"",C98*E98)</x:f>
      </x:c>
      <x:c r="H98" s="18">
        <x:f>IF(OR(F98="",G98=""),"",F98-G98)</x:f>
      </x:c>
      <x:c r="I98" s="30">
        <x:f>IF(A98="","",DATE(YEAR(A98),MONTH(A98),1))</x:f>
      </x:c>
    </x:row>
    <x:row r="99">
      <x:c r="A99" s="29" t="inlineStr">
        <x:is>
          <x:t xml:space="preserve"/>
        </x:is>
      </x:c>
      <x:c r="B99" s="24" t="inlineStr">
        <x:is>
          <x:t xml:space="preserve"/>
        </x:is>
      </x:c>
      <x:c r="C99" s="28" t="inlineStr">
        <x:is>
          <x:t xml:space="preserve"/>
        </x:is>
      </x:c>
      <x:c r="D99" s="9" t="inlineStr">
        <x:is>
          <x:t xml:space="preserve"/>
        </x:is>
      </x:c>
      <x:c r="E99" s="9" t="inlineStr">
        <x:is>
          <x:t xml:space="preserve"/>
        </x:is>
      </x:c>
      <x:c r="F99" s="18">
        <x:f>IF(OR(C99="",D99=""),"",C99*D99)</x:f>
      </x:c>
      <x:c r="G99" s="18">
        <x:f>IF(OR(C99="",E99=""),"",C99*E99)</x:f>
      </x:c>
      <x:c r="H99" s="18">
        <x:f>IF(OR(F99="",G99=""),"",F99-G99)</x:f>
      </x:c>
      <x:c r="I99" s="30">
        <x:f>IF(A99="","",DATE(YEAR(A99),MONTH(A99),1))</x:f>
      </x:c>
    </x:row>
    <x:row r="100">
      <x:c r="A100" s="29" t="inlineStr">
        <x:is>
          <x:t xml:space="preserve"/>
        </x:is>
      </x:c>
      <x:c r="B100" s="24" t="inlineStr">
        <x:is>
          <x:t xml:space="preserve"/>
        </x:is>
      </x:c>
      <x:c r="C100" s="28" t="inlineStr">
        <x:is>
          <x:t xml:space="preserve"/>
        </x:is>
      </x:c>
      <x:c r="D100" s="9" t="inlineStr">
        <x:is>
          <x:t xml:space="preserve"/>
        </x:is>
      </x:c>
      <x:c r="E100" s="9" t="inlineStr">
        <x:is>
          <x:t xml:space="preserve"/>
        </x:is>
      </x:c>
      <x:c r="F100" s="18">
        <x:f>IF(OR(C100="",D100=""),"",C100*D100)</x:f>
      </x:c>
      <x:c r="G100" s="18">
        <x:f>IF(OR(C100="",E100=""),"",C100*E100)</x:f>
      </x:c>
      <x:c r="H100" s="18">
        <x:f>IF(OR(F100="",G100=""),"",F100-G100)</x:f>
      </x:c>
      <x:c r="I100" s="30">
        <x:f>IF(A100="","",DATE(YEAR(A100),MONTH(A100),1))</x:f>
      </x:c>
    </x:row>
    <x:row r="101">
      <x:c r="A101" s="29" t="inlineStr">
        <x:is>
          <x:t xml:space="preserve"/>
        </x:is>
      </x:c>
      <x:c r="B101" s="24" t="inlineStr">
        <x:is>
          <x:t xml:space="preserve"/>
        </x:is>
      </x:c>
      <x:c r="C101" s="28" t="inlineStr">
        <x:is>
          <x:t xml:space="preserve"/>
        </x:is>
      </x:c>
      <x:c r="D101" s="9" t="inlineStr">
        <x:is>
          <x:t xml:space="preserve"/>
        </x:is>
      </x:c>
      <x:c r="E101" s="9" t="inlineStr">
        <x:is>
          <x:t xml:space="preserve"/>
        </x:is>
      </x:c>
      <x:c r="F101" s="18">
        <x:f>IF(OR(C101="",D101=""),"",C101*D101)</x:f>
      </x:c>
      <x:c r="G101" s="18">
        <x:f>IF(OR(C101="",E101=""),"",C101*E101)</x:f>
      </x:c>
      <x:c r="H101" s="18">
        <x:f>IF(OR(F101="",G101=""),"",F101-G101)</x:f>
      </x:c>
      <x:c r="I101" s="30">
        <x:f>IF(A101="","",DATE(YEAR(A101),MONTH(A101),1))</x:f>
      </x:c>
    </x:row>
    <x:row r="102">
      <x:c r="A102" s="29" t="inlineStr">
        <x:is>
          <x:t xml:space="preserve"/>
        </x:is>
      </x:c>
      <x:c r="B102" s="24" t="inlineStr">
        <x:is>
          <x:t xml:space="preserve"/>
        </x:is>
      </x:c>
      <x:c r="C102" s="28" t="inlineStr">
        <x:is>
          <x:t xml:space="preserve"/>
        </x:is>
      </x:c>
      <x:c r="D102" s="9" t="inlineStr">
        <x:is>
          <x:t xml:space="preserve"/>
        </x:is>
      </x:c>
      <x:c r="E102" s="9" t="inlineStr">
        <x:is>
          <x:t xml:space="preserve"/>
        </x:is>
      </x:c>
      <x:c r="F102" s="18">
        <x:f>IF(OR(C102="",D102=""),"",C102*D102)</x:f>
      </x:c>
      <x:c r="G102" s="18">
        <x:f>IF(OR(C102="",E102=""),"",C102*E102)</x:f>
      </x:c>
      <x:c r="H102" s="18">
        <x:f>IF(OR(F102="",G102=""),"",F102-G102)</x:f>
      </x:c>
      <x:c r="I102" s="30">
        <x:f>IF(A102="","",DATE(YEAR(A102),MONTH(A102),1))</x:f>
      </x:c>
    </x:row>
    <x:row r="103">
      <x:c r="A103" s="29" t="inlineStr">
        <x:is>
          <x:t xml:space="preserve"/>
        </x:is>
      </x:c>
      <x:c r="B103" s="24" t="inlineStr">
        <x:is>
          <x:t xml:space="preserve"/>
        </x:is>
      </x:c>
      <x:c r="C103" s="28" t="inlineStr">
        <x:is>
          <x:t xml:space="preserve"/>
        </x:is>
      </x:c>
      <x:c r="D103" s="9" t="inlineStr">
        <x:is>
          <x:t xml:space="preserve"/>
        </x:is>
      </x:c>
      <x:c r="E103" s="9" t="inlineStr">
        <x:is>
          <x:t xml:space="preserve"/>
        </x:is>
      </x:c>
      <x:c r="F103" s="18">
        <x:f>IF(OR(C103="",D103=""),"",C103*D103)</x:f>
      </x:c>
      <x:c r="G103" s="18">
        <x:f>IF(OR(C103="",E103=""),"",C103*E103)</x:f>
      </x:c>
      <x:c r="H103" s="18">
        <x:f>IF(OR(F103="",G103=""),"",F103-G103)</x:f>
      </x:c>
      <x:c r="I103" s="30">
        <x:f>IF(A103="","",DATE(YEAR(A103),MONTH(A103),1))</x:f>
      </x:c>
    </x:row>
    <x:row r="104">
      <x:c r="A104" s="29" t="inlineStr">
        <x:is>
          <x:t xml:space="preserve"/>
        </x:is>
      </x:c>
      <x:c r="B104" s="24" t="inlineStr">
        <x:is>
          <x:t xml:space="preserve"/>
        </x:is>
      </x:c>
      <x:c r="C104" s="28" t="inlineStr">
        <x:is>
          <x:t xml:space="preserve"/>
        </x:is>
      </x:c>
      <x:c r="D104" s="9" t="inlineStr">
        <x:is>
          <x:t xml:space="preserve"/>
        </x:is>
      </x:c>
      <x:c r="E104" s="9" t="inlineStr">
        <x:is>
          <x:t xml:space="preserve"/>
        </x:is>
      </x:c>
      <x:c r="F104" s="18">
        <x:f>IF(OR(C104="",D104=""),"",C104*D104)</x:f>
      </x:c>
      <x:c r="G104" s="18">
        <x:f>IF(OR(C104="",E104=""),"",C104*E104)</x:f>
      </x:c>
      <x:c r="H104" s="18">
        <x:f>IF(OR(F104="",G104=""),"",F104-G104)</x:f>
      </x:c>
      <x:c r="I104" s="30">
        <x:f>IF(A104="","",DATE(YEAR(A104),MONTH(A104),1))</x:f>
      </x:c>
    </x:row>
    <x:row r="105">
      <x:c r="A105" s="29" t="inlineStr">
        <x:is>
          <x:t xml:space="preserve"/>
        </x:is>
      </x:c>
      <x:c r="B105" s="24" t="inlineStr">
        <x:is>
          <x:t xml:space="preserve"/>
        </x:is>
      </x:c>
      <x:c r="C105" s="28" t="inlineStr">
        <x:is>
          <x:t xml:space="preserve"/>
        </x:is>
      </x:c>
      <x:c r="D105" s="9" t="inlineStr">
        <x:is>
          <x:t xml:space="preserve"/>
        </x:is>
      </x:c>
      <x:c r="E105" s="9" t="inlineStr">
        <x:is>
          <x:t xml:space="preserve"/>
        </x:is>
      </x:c>
      <x:c r="F105" s="18">
        <x:f>IF(OR(C105="",D105=""),"",C105*D105)</x:f>
      </x:c>
      <x:c r="G105" s="18">
        <x:f>IF(OR(C105="",E105=""),"",C105*E105)</x:f>
      </x:c>
      <x:c r="H105" s="18">
        <x:f>IF(OR(F105="",G105=""),"",F105-G105)</x:f>
      </x:c>
      <x:c r="I105" s="30">
        <x:f>IF(A105="","",DATE(YEAR(A105),MONTH(A105),1))</x:f>
      </x:c>
    </x:row>
    <x:row r="106">
      <x:c r="A106" s="29" t="inlineStr">
        <x:is>
          <x:t xml:space="preserve"/>
        </x:is>
      </x:c>
      <x:c r="B106" s="24" t="inlineStr">
        <x:is>
          <x:t xml:space="preserve"/>
        </x:is>
      </x:c>
      <x:c r="C106" s="28" t="inlineStr">
        <x:is>
          <x:t xml:space="preserve"/>
        </x:is>
      </x:c>
      <x:c r="D106" s="9" t="inlineStr">
        <x:is>
          <x:t xml:space="preserve"/>
        </x:is>
      </x:c>
      <x:c r="E106" s="9" t="inlineStr">
        <x:is>
          <x:t xml:space="preserve"/>
        </x:is>
      </x:c>
      <x:c r="F106" s="18">
        <x:f>IF(OR(C106="",D106=""),"",C106*D106)</x:f>
      </x:c>
      <x:c r="G106" s="18">
        <x:f>IF(OR(C106="",E106=""),"",C106*E106)</x:f>
      </x:c>
      <x:c r="H106" s="18">
        <x:f>IF(OR(F106="",G106=""),"",F106-G106)</x:f>
      </x:c>
      <x:c r="I106" s="30">
        <x:f>IF(A106="","",DATE(YEAR(A106),MONTH(A106),1))</x:f>
      </x:c>
    </x:row>
    <x:row r="107">
      <x:c r="A107" s="29" t="inlineStr">
        <x:is>
          <x:t xml:space="preserve"/>
        </x:is>
      </x:c>
      <x:c r="B107" s="24" t="inlineStr">
        <x:is>
          <x:t xml:space="preserve"/>
        </x:is>
      </x:c>
      <x:c r="C107" s="28" t="inlineStr">
        <x:is>
          <x:t xml:space="preserve"/>
        </x:is>
      </x:c>
      <x:c r="D107" s="9" t="inlineStr">
        <x:is>
          <x:t xml:space="preserve"/>
        </x:is>
      </x:c>
      <x:c r="E107" s="9" t="inlineStr">
        <x:is>
          <x:t xml:space="preserve"/>
        </x:is>
      </x:c>
      <x:c r="F107" s="18">
        <x:f>IF(OR(C107="",D107=""),"",C107*D107)</x:f>
      </x:c>
      <x:c r="G107" s="18">
        <x:f>IF(OR(C107="",E107=""),"",C107*E107)</x:f>
      </x:c>
      <x:c r="H107" s="18">
        <x:f>IF(OR(F107="",G107=""),"",F107-G107)</x:f>
      </x:c>
      <x:c r="I107" s="30">
        <x:f>IF(A107="","",DATE(YEAR(A107),MONTH(A107),1))</x:f>
      </x:c>
    </x:row>
    <x:row r="108">
      <x:c r="A108" s="29" t="inlineStr">
        <x:is>
          <x:t xml:space="preserve"/>
        </x:is>
      </x:c>
      <x:c r="B108" s="24" t="inlineStr">
        <x:is>
          <x:t xml:space="preserve"/>
        </x:is>
      </x:c>
      <x:c r="C108" s="28" t="inlineStr">
        <x:is>
          <x:t xml:space="preserve"/>
        </x:is>
      </x:c>
      <x:c r="D108" s="9" t="inlineStr">
        <x:is>
          <x:t xml:space="preserve"/>
        </x:is>
      </x:c>
      <x:c r="E108" s="9" t="inlineStr">
        <x:is>
          <x:t xml:space="preserve"/>
        </x:is>
      </x:c>
      <x:c r="F108" s="18">
        <x:f>IF(OR(C108="",D108=""),"",C108*D108)</x:f>
      </x:c>
      <x:c r="G108" s="18">
        <x:f>IF(OR(C108="",E108=""),"",C108*E108)</x:f>
      </x:c>
      <x:c r="H108" s="18">
        <x:f>IF(OR(F108="",G108=""),"",F108-G108)</x:f>
      </x:c>
      <x:c r="I108" s="30">
        <x:f>IF(A108="","",DATE(YEAR(A108),MONTH(A108),1))</x:f>
      </x:c>
    </x:row>
    <x:row r="109">
      <x:c r="A109" s="29" t="inlineStr">
        <x:is>
          <x:t xml:space="preserve"/>
        </x:is>
      </x:c>
      <x:c r="B109" s="24" t="inlineStr">
        <x:is>
          <x:t xml:space="preserve"/>
        </x:is>
      </x:c>
      <x:c r="C109" s="28" t="inlineStr">
        <x:is>
          <x:t xml:space="preserve"/>
        </x:is>
      </x:c>
      <x:c r="D109" s="9" t="inlineStr">
        <x:is>
          <x:t xml:space="preserve"/>
        </x:is>
      </x:c>
      <x:c r="E109" s="9" t="inlineStr">
        <x:is>
          <x:t xml:space="preserve"/>
        </x:is>
      </x:c>
      <x:c r="F109" s="18">
        <x:f>IF(OR(C109="",D109=""),"",C109*D109)</x:f>
      </x:c>
      <x:c r="G109" s="18">
        <x:f>IF(OR(C109="",E109=""),"",C109*E109)</x:f>
      </x:c>
      <x:c r="H109" s="18">
        <x:f>IF(OR(F109="",G109=""),"",F109-G109)</x:f>
      </x:c>
      <x:c r="I109" s="30">
        <x:f>IF(A109="","",DATE(YEAR(A109),MONTH(A109),1))</x:f>
      </x:c>
    </x:row>
    <x:row r="110">
      <x:c r="A110" s="29" t="inlineStr">
        <x:is>
          <x:t xml:space="preserve"/>
        </x:is>
      </x:c>
      <x:c r="B110" s="24" t="inlineStr">
        <x:is>
          <x:t xml:space="preserve"/>
        </x:is>
      </x:c>
      <x:c r="C110" s="28" t="inlineStr">
        <x:is>
          <x:t xml:space="preserve"/>
        </x:is>
      </x:c>
      <x:c r="D110" s="9" t="inlineStr">
        <x:is>
          <x:t xml:space="preserve"/>
        </x:is>
      </x:c>
      <x:c r="E110" s="9" t="inlineStr">
        <x:is>
          <x:t xml:space="preserve"/>
        </x:is>
      </x:c>
      <x:c r="F110" s="18">
        <x:f>IF(OR(C110="",D110=""),"",C110*D110)</x:f>
      </x:c>
      <x:c r="G110" s="18">
        <x:f>IF(OR(C110="",E110=""),"",C110*E110)</x:f>
      </x:c>
      <x:c r="H110" s="18">
        <x:f>IF(OR(F110="",G110=""),"",F110-G110)</x:f>
      </x:c>
      <x:c r="I110" s="30">
        <x:f>IF(A110="","",DATE(YEAR(A110),MONTH(A110),1))</x:f>
      </x:c>
    </x:row>
    <x:row r="111">
      <x:c r="A111" s="29" t="inlineStr">
        <x:is>
          <x:t xml:space="preserve"/>
        </x:is>
      </x:c>
      <x:c r="B111" s="24" t="inlineStr">
        <x:is>
          <x:t xml:space="preserve"/>
        </x:is>
      </x:c>
      <x:c r="C111" s="28" t="inlineStr">
        <x:is>
          <x:t xml:space="preserve"/>
        </x:is>
      </x:c>
      <x:c r="D111" s="9" t="inlineStr">
        <x:is>
          <x:t xml:space="preserve"/>
        </x:is>
      </x:c>
      <x:c r="E111" s="9" t="inlineStr">
        <x:is>
          <x:t xml:space="preserve"/>
        </x:is>
      </x:c>
      <x:c r="F111" s="18">
        <x:f>IF(OR(C111="",D111=""),"",C111*D111)</x:f>
      </x:c>
      <x:c r="G111" s="18">
        <x:f>IF(OR(C111="",E111=""),"",C111*E111)</x:f>
      </x:c>
      <x:c r="H111" s="18">
        <x:f>IF(OR(F111="",G111=""),"",F111-G111)</x:f>
      </x:c>
      <x:c r="I111" s="30">
        <x:f>IF(A111="","",DATE(YEAR(A111),MONTH(A111),1))</x:f>
      </x:c>
    </x:row>
    <x:row r="112">
      <x:c r="A112" s="29" t="inlineStr">
        <x:is>
          <x:t xml:space="preserve"/>
        </x:is>
      </x:c>
      <x:c r="B112" s="24" t="inlineStr">
        <x:is>
          <x:t xml:space="preserve"/>
        </x:is>
      </x:c>
      <x:c r="C112" s="28" t="inlineStr">
        <x:is>
          <x:t xml:space="preserve"/>
        </x:is>
      </x:c>
      <x:c r="D112" s="9" t="inlineStr">
        <x:is>
          <x:t xml:space="preserve"/>
        </x:is>
      </x:c>
      <x:c r="E112" s="9" t="inlineStr">
        <x:is>
          <x:t xml:space="preserve"/>
        </x:is>
      </x:c>
      <x:c r="F112" s="18">
        <x:f>IF(OR(C112="",D112=""),"",C112*D112)</x:f>
      </x:c>
      <x:c r="G112" s="18">
        <x:f>IF(OR(C112="",E112=""),"",C112*E112)</x:f>
      </x:c>
      <x:c r="H112" s="18">
        <x:f>IF(OR(F112="",G112=""),"",F112-G112)</x:f>
      </x:c>
      <x:c r="I112" s="30">
        <x:f>IF(A112="","",DATE(YEAR(A112),MONTH(A112),1))</x:f>
      </x:c>
    </x:row>
    <x:row r="113">
      <x:c r="A113" s="29" t="inlineStr">
        <x:is>
          <x:t xml:space="preserve"/>
        </x:is>
      </x:c>
      <x:c r="B113" s="24" t="inlineStr">
        <x:is>
          <x:t xml:space="preserve"/>
        </x:is>
      </x:c>
      <x:c r="C113" s="28" t="inlineStr">
        <x:is>
          <x:t xml:space="preserve"/>
        </x:is>
      </x:c>
      <x:c r="D113" s="9" t="inlineStr">
        <x:is>
          <x:t xml:space="preserve"/>
        </x:is>
      </x:c>
      <x:c r="E113" s="9" t="inlineStr">
        <x:is>
          <x:t xml:space="preserve"/>
        </x:is>
      </x:c>
      <x:c r="F113" s="18">
        <x:f>IF(OR(C113="",D113=""),"",C113*D113)</x:f>
      </x:c>
      <x:c r="G113" s="18">
        <x:f>IF(OR(C113="",E113=""),"",C113*E113)</x:f>
      </x:c>
      <x:c r="H113" s="18">
        <x:f>IF(OR(F113="",G113=""),"",F113-G113)</x:f>
      </x:c>
      <x:c r="I113" s="30">
        <x:f>IF(A113="","",DATE(YEAR(A113),MONTH(A113),1))</x:f>
      </x:c>
    </x:row>
    <x:row r="114">
      <x:c r="A114" s="29" t="inlineStr">
        <x:is>
          <x:t xml:space="preserve"/>
        </x:is>
      </x:c>
      <x:c r="B114" s="24" t="inlineStr">
        <x:is>
          <x:t xml:space="preserve"/>
        </x:is>
      </x:c>
      <x:c r="C114" s="28" t="inlineStr">
        <x:is>
          <x:t xml:space="preserve"/>
        </x:is>
      </x:c>
      <x:c r="D114" s="9" t="inlineStr">
        <x:is>
          <x:t xml:space="preserve"/>
        </x:is>
      </x:c>
      <x:c r="E114" s="9" t="inlineStr">
        <x:is>
          <x:t xml:space="preserve"/>
        </x:is>
      </x:c>
      <x:c r="F114" s="18">
        <x:f>IF(OR(C114="",D114=""),"",C114*D114)</x:f>
      </x:c>
      <x:c r="G114" s="18">
        <x:f>IF(OR(C114="",E114=""),"",C114*E114)</x:f>
      </x:c>
      <x:c r="H114" s="18">
        <x:f>IF(OR(F114="",G114=""),"",F114-G114)</x:f>
      </x:c>
      <x:c r="I114" s="30">
        <x:f>IF(A114="","",DATE(YEAR(A114),MONTH(A114),1))</x:f>
      </x:c>
    </x:row>
    <x:row r="115">
      <x:c r="A115" s="29" t="inlineStr">
        <x:is>
          <x:t xml:space="preserve"/>
        </x:is>
      </x:c>
      <x:c r="B115" s="24" t="inlineStr">
        <x:is>
          <x:t xml:space="preserve"/>
        </x:is>
      </x:c>
      <x:c r="C115" s="28" t="inlineStr">
        <x:is>
          <x:t xml:space="preserve"/>
        </x:is>
      </x:c>
      <x:c r="D115" s="9" t="inlineStr">
        <x:is>
          <x:t xml:space="preserve"/>
        </x:is>
      </x:c>
      <x:c r="E115" s="9" t="inlineStr">
        <x:is>
          <x:t xml:space="preserve"/>
        </x:is>
      </x:c>
      <x:c r="F115" s="18">
        <x:f>IF(OR(C115="",D115=""),"",C115*D115)</x:f>
      </x:c>
      <x:c r="G115" s="18">
        <x:f>IF(OR(C115="",E115=""),"",C115*E115)</x:f>
      </x:c>
      <x:c r="H115" s="18">
        <x:f>IF(OR(F115="",G115=""),"",F115-G115)</x:f>
      </x:c>
      <x:c r="I115" s="30">
        <x:f>IF(A115="","",DATE(YEAR(A115),MONTH(A115),1))</x:f>
      </x:c>
    </x:row>
    <x:row r="116">
      <x:c r="A116" s="29" t="inlineStr">
        <x:is>
          <x:t xml:space="preserve"/>
        </x:is>
      </x:c>
      <x:c r="B116" s="24" t="inlineStr">
        <x:is>
          <x:t xml:space="preserve"/>
        </x:is>
      </x:c>
      <x:c r="C116" s="28" t="inlineStr">
        <x:is>
          <x:t xml:space="preserve"/>
        </x:is>
      </x:c>
      <x:c r="D116" s="9" t="inlineStr">
        <x:is>
          <x:t xml:space="preserve"/>
        </x:is>
      </x:c>
      <x:c r="E116" s="9" t="inlineStr">
        <x:is>
          <x:t xml:space="preserve"/>
        </x:is>
      </x:c>
      <x:c r="F116" s="18">
        <x:f>IF(OR(C116="",D116=""),"",C116*D116)</x:f>
      </x:c>
      <x:c r="G116" s="18">
        <x:f>IF(OR(C116="",E116=""),"",C116*E116)</x:f>
      </x:c>
      <x:c r="H116" s="18">
        <x:f>IF(OR(F116="",G116=""),"",F116-G116)</x:f>
      </x:c>
      <x:c r="I116" s="30">
        <x:f>IF(A116="","",DATE(YEAR(A116),MONTH(A116),1))</x:f>
      </x:c>
    </x:row>
    <x:row r="117">
      <x:c r="A117" s="29" t="inlineStr">
        <x:is>
          <x:t xml:space="preserve"/>
        </x:is>
      </x:c>
      <x:c r="B117" s="24" t="inlineStr">
        <x:is>
          <x:t xml:space="preserve"/>
        </x:is>
      </x:c>
      <x:c r="C117" s="28" t="inlineStr">
        <x:is>
          <x:t xml:space="preserve"/>
        </x:is>
      </x:c>
      <x:c r="D117" s="9" t="inlineStr">
        <x:is>
          <x:t xml:space="preserve"/>
        </x:is>
      </x:c>
      <x:c r="E117" s="9" t="inlineStr">
        <x:is>
          <x:t xml:space="preserve"/>
        </x:is>
      </x:c>
      <x:c r="F117" s="18">
        <x:f>IF(OR(C117="",D117=""),"",C117*D117)</x:f>
      </x:c>
      <x:c r="G117" s="18">
        <x:f>IF(OR(C117="",E117=""),"",C117*E117)</x:f>
      </x:c>
      <x:c r="H117" s="18">
        <x:f>IF(OR(F117="",G117=""),"",F117-G117)</x:f>
      </x:c>
      <x:c r="I117" s="30">
        <x:f>IF(A117="","",DATE(YEAR(A117),MONTH(A117),1))</x:f>
      </x:c>
    </x:row>
    <x:row r="118">
      <x:c r="A118" s="29" t="inlineStr">
        <x:is>
          <x:t xml:space="preserve"/>
        </x:is>
      </x:c>
      <x:c r="B118" s="24" t="inlineStr">
        <x:is>
          <x:t xml:space="preserve"/>
        </x:is>
      </x:c>
      <x:c r="C118" s="28" t="inlineStr">
        <x:is>
          <x:t xml:space="preserve"/>
        </x:is>
      </x:c>
      <x:c r="D118" s="9" t="inlineStr">
        <x:is>
          <x:t xml:space="preserve"/>
        </x:is>
      </x:c>
      <x:c r="E118" s="9" t="inlineStr">
        <x:is>
          <x:t xml:space="preserve"/>
        </x:is>
      </x:c>
      <x:c r="F118" s="18">
        <x:f>IF(OR(C118="",D118=""),"",C118*D118)</x:f>
      </x:c>
      <x:c r="G118" s="18">
        <x:f>IF(OR(C118="",E118=""),"",C118*E118)</x:f>
      </x:c>
      <x:c r="H118" s="18">
        <x:f>IF(OR(F118="",G118=""),"",F118-G118)</x:f>
      </x:c>
      <x:c r="I118" s="30">
        <x:f>IF(A118="","",DATE(YEAR(A118),MONTH(A118),1))</x:f>
      </x:c>
    </x:row>
    <x:row r="119">
      <x:c r="A119" s="29" t="inlineStr">
        <x:is>
          <x:t xml:space="preserve"/>
        </x:is>
      </x:c>
      <x:c r="B119" s="24" t="inlineStr">
        <x:is>
          <x:t xml:space="preserve"/>
        </x:is>
      </x:c>
      <x:c r="C119" s="28" t="inlineStr">
        <x:is>
          <x:t xml:space="preserve"/>
        </x:is>
      </x:c>
      <x:c r="D119" s="9" t="inlineStr">
        <x:is>
          <x:t xml:space="preserve"/>
        </x:is>
      </x:c>
      <x:c r="E119" s="9" t="inlineStr">
        <x:is>
          <x:t xml:space="preserve"/>
        </x:is>
      </x:c>
      <x:c r="F119" s="18">
        <x:f>IF(OR(C119="",D119=""),"",C119*D119)</x:f>
      </x:c>
      <x:c r="G119" s="18">
        <x:f>IF(OR(C119="",E119=""),"",C119*E119)</x:f>
      </x:c>
      <x:c r="H119" s="18">
        <x:f>IF(OR(F119="",G119=""),"",F119-G119)</x:f>
      </x:c>
      <x:c r="I119" s="30">
        <x:f>IF(A119="","",DATE(YEAR(A119),MONTH(A119),1))</x:f>
      </x:c>
    </x:row>
    <x:row r="120">
      <x:c r="A120" s="29" t="inlineStr">
        <x:is>
          <x:t xml:space="preserve"/>
        </x:is>
      </x:c>
      <x:c r="B120" s="24" t="inlineStr">
        <x:is>
          <x:t xml:space="preserve"/>
        </x:is>
      </x:c>
      <x:c r="C120" s="28" t="inlineStr">
        <x:is>
          <x:t xml:space="preserve"/>
        </x:is>
      </x:c>
      <x:c r="D120" s="9" t="inlineStr">
        <x:is>
          <x:t xml:space="preserve"/>
        </x:is>
      </x:c>
      <x:c r="E120" s="9" t="inlineStr">
        <x:is>
          <x:t xml:space="preserve"/>
        </x:is>
      </x:c>
      <x:c r="F120" s="18">
        <x:f>IF(OR(C120="",D120=""),"",C120*D120)</x:f>
      </x:c>
      <x:c r="G120" s="18">
        <x:f>IF(OR(C120="",E120=""),"",C120*E120)</x:f>
      </x:c>
      <x:c r="H120" s="18">
        <x:f>IF(OR(F120="",G120=""),"",F120-G120)</x:f>
      </x:c>
      <x:c r="I120" s="30">
        <x:f>IF(A120="","",DATE(YEAR(A120),MONTH(A120),1))</x:f>
      </x:c>
    </x:row>
    <x:row r="121">
      <x:c r="A121" s="29" t="inlineStr">
        <x:is>
          <x:t xml:space="preserve"/>
        </x:is>
      </x:c>
      <x:c r="B121" s="24" t="inlineStr">
        <x:is>
          <x:t xml:space="preserve"/>
        </x:is>
      </x:c>
      <x:c r="C121" s="28" t="inlineStr">
        <x:is>
          <x:t xml:space="preserve"/>
        </x:is>
      </x:c>
      <x:c r="D121" s="9" t="inlineStr">
        <x:is>
          <x:t xml:space="preserve"/>
        </x:is>
      </x:c>
      <x:c r="E121" s="9" t="inlineStr">
        <x:is>
          <x:t xml:space="preserve"/>
        </x:is>
      </x:c>
      <x:c r="F121" s="18">
        <x:f>IF(OR(C121="",D121=""),"",C121*D121)</x:f>
      </x:c>
      <x:c r="G121" s="18">
        <x:f>IF(OR(C121="",E121=""),"",C121*E121)</x:f>
      </x:c>
      <x:c r="H121" s="18">
        <x:f>IF(OR(F121="",G121=""),"",F121-G121)</x:f>
      </x:c>
      <x:c r="I121" s="30">
        <x:f>IF(A121="","",DATE(YEAR(A121),MONTH(A121),1))</x:f>
      </x:c>
    </x:row>
    <x:row r="122">
      <x:c r="A122" s="29" t="inlineStr">
        <x:is>
          <x:t xml:space="preserve"/>
        </x:is>
      </x:c>
      <x:c r="B122" s="24" t="inlineStr">
        <x:is>
          <x:t xml:space="preserve"/>
        </x:is>
      </x:c>
      <x:c r="C122" s="28" t="inlineStr">
        <x:is>
          <x:t xml:space="preserve"/>
        </x:is>
      </x:c>
      <x:c r="D122" s="9" t="inlineStr">
        <x:is>
          <x:t xml:space="preserve"/>
        </x:is>
      </x:c>
      <x:c r="E122" s="9" t="inlineStr">
        <x:is>
          <x:t xml:space="preserve"/>
        </x:is>
      </x:c>
      <x:c r="F122" s="18">
        <x:f>IF(OR(C122="",D122=""),"",C122*D122)</x:f>
      </x:c>
      <x:c r="G122" s="18">
        <x:f>IF(OR(C122="",E122=""),"",C122*E122)</x:f>
      </x:c>
      <x:c r="H122" s="18">
        <x:f>IF(OR(F122="",G122=""),"",F122-G122)</x:f>
      </x:c>
      <x:c r="I122" s="30">
        <x:f>IF(A122="","",DATE(YEAR(A122),MONTH(A122),1))</x:f>
      </x:c>
    </x:row>
    <x:row r="123">
      <x:c r="A123" s="29" t="inlineStr">
        <x:is>
          <x:t xml:space="preserve"/>
        </x:is>
      </x:c>
      <x:c r="B123" s="24" t="inlineStr">
        <x:is>
          <x:t xml:space="preserve"/>
        </x:is>
      </x:c>
      <x:c r="C123" s="28" t="inlineStr">
        <x:is>
          <x:t xml:space="preserve"/>
        </x:is>
      </x:c>
      <x:c r="D123" s="9" t="inlineStr">
        <x:is>
          <x:t xml:space="preserve"/>
        </x:is>
      </x:c>
      <x:c r="E123" s="9" t="inlineStr">
        <x:is>
          <x:t xml:space="preserve"/>
        </x:is>
      </x:c>
      <x:c r="F123" s="18">
        <x:f>IF(OR(C123="",D123=""),"",C123*D123)</x:f>
      </x:c>
      <x:c r="G123" s="18">
        <x:f>IF(OR(C123="",E123=""),"",C123*E123)</x:f>
      </x:c>
      <x:c r="H123" s="18">
        <x:f>IF(OR(F123="",G123=""),"",F123-G123)</x:f>
      </x:c>
      <x:c r="I123" s="30">
        <x:f>IF(A123="","",DATE(YEAR(A123),MONTH(A123),1))</x:f>
      </x:c>
    </x:row>
    <x:row r="124">
      <x:c r="A124" s="29" t="inlineStr">
        <x:is>
          <x:t xml:space="preserve"/>
        </x:is>
      </x:c>
      <x:c r="B124" s="24" t="inlineStr">
        <x:is>
          <x:t xml:space="preserve"/>
        </x:is>
      </x:c>
      <x:c r="C124" s="28" t="inlineStr">
        <x:is>
          <x:t xml:space="preserve"/>
        </x:is>
      </x:c>
      <x:c r="D124" s="9" t="inlineStr">
        <x:is>
          <x:t xml:space="preserve"/>
        </x:is>
      </x:c>
      <x:c r="E124" s="9" t="inlineStr">
        <x:is>
          <x:t xml:space="preserve"/>
        </x:is>
      </x:c>
      <x:c r="F124" s="18">
        <x:f>IF(OR(C124="",D124=""),"",C124*D124)</x:f>
      </x:c>
      <x:c r="G124" s="18">
        <x:f>IF(OR(C124="",E124=""),"",C124*E124)</x:f>
      </x:c>
      <x:c r="H124" s="18">
        <x:f>IF(OR(F124="",G124=""),"",F124-G124)</x:f>
      </x:c>
      <x:c r="I124" s="30">
        <x:f>IF(A124="","",DATE(YEAR(A124),MONTH(A124),1))</x:f>
      </x:c>
    </x:row>
    <x:row r="125">
      <x:c r="A125" s="29" t="inlineStr">
        <x:is>
          <x:t xml:space="preserve"/>
        </x:is>
      </x:c>
      <x:c r="B125" s="24" t="inlineStr">
        <x:is>
          <x:t xml:space="preserve"/>
        </x:is>
      </x:c>
      <x:c r="C125" s="28" t="inlineStr">
        <x:is>
          <x:t xml:space="preserve"/>
        </x:is>
      </x:c>
      <x:c r="D125" s="9" t="inlineStr">
        <x:is>
          <x:t xml:space="preserve"/>
        </x:is>
      </x:c>
      <x:c r="E125" s="9" t="inlineStr">
        <x:is>
          <x:t xml:space="preserve"/>
        </x:is>
      </x:c>
      <x:c r="F125" s="18">
        <x:f>IF(OR(C125="",D125=""),"",C125*D125)</x:f>
      </x:c>
      <x:c r="G125" s="18">
        <x:f>IF(OR(C125="",E125=""),"",C125*E125)</x:f>
      </x:c>
      <x:c r="H125" s="18">
        <x:f>IF(OR(F125="",G125=""),"",F125-G125)</x:f>
      </x:c>
      <x:c r="I125" s="30">
        <x:f>IF(A125="","",DATE(YEAR(A125),MONTH(A125),1))</x:f>
      </x:c>
    </x:row>
    <x:row r="126">
      <x:c r="A126" s="29" t="inlineStr">
        <x:is>
          <x:t xml:space="preserve"/>
        </x:is>
      </x:c>
      <x:c r="B126" s="24" t="inlineStr">
        <x:is>
          <x:t xml:space="preserve"/>
        </x:is>
      </x:c>
      <x:c r="C126" s="28" t="inlineStr">
        <x:is>
          <x:t xml:space="preserve"/>
        </x:is>
      </x:c>
      <x:c r="D126" s="9" t="inlineStr">
        <x:is>
          <x:t xml:space="preserve"/>
        </x:is>
      </x:c>
      <x:c r="E126" s="9" t="inlineStr">
        <x:is>
          <x:t xml:space="preserve"/>
        </x:is>
      </x:c>
      <x:c r="F126" s="18">
        <x:f>IF(OR(C126="",D126=""),"",C126*D126)</x:f>
      </x:c>
      <x:c r="G126" s="18">
        <x:f>IF(OR(C126="",E126=""),"",C126*E126)</x:f>
      </x:c>
      <x:c r="H126" s="18">
        <x:f>IF(OR(F126="",G126=""),"",F126-G126)</x:f>
      </x:c>
      <x:c r="I126" s="30">
        <x:f>IF(A126="","",DATE(YEAR(A126),MONTH(A126),1))</x:f>
      </x:c>
    </x:row>
    <x:row r="127">
      <x:c r="A127" s="29" t="inlineStr">
        <x:is>
          <x:t xml:space="preserve"/>
        </x:is>
      </x:c>
      <x:c r="B127" s="24" t="inlineStr">
        <x:is>
          <x:t xml:space="preserve"/>
        </x:is>
      </x:c>
      <x:c r="C127" s="28" t="inlineStr">
        <x:is>
          <x:t xml:space="preserve"/>
        </x:is>
      </x:c>
      <x:c r="D127" s="9" t="inlineStr">
        <x:is>
          <x:t xml:space="preserve"/>
        </x:is>
      </x:c>
      <x:c r="E127" s="9" t="inlineStr">
        <x:is>
          <x:t xml:space="preserve"/>
        </x:is>
      </x:c>
      <x:c r="F127" s="18">
        <x:f>IF(OR(C127="",D127=""),"",C127*D127)</x:f>
      </x:c>
      <x:c r="G127" s="18">
        <x:f>IF(OR(C127="",E127=""),"",C127*E127)</x:f>
      </x:c>
      <x:c r="H127" s="18">
        <x:f>IF(OR(F127="",G127=""),"",F127-G127)</x:f>
      </x:c>
      <x:c r="I127" s="30">
        <x:f>IF(A127="","",DATE(YEAR(A127),MONTH(A127),1))</x:f>
      </x:c>
    </x:row>
    <x:row r="128">
      <x:c r="A128" s="29" t="inlineStr">
        <x:is>
          <x:t xml:space="preserve"/>
        </x:is>
      </x:c>
      <x:c r="B128" s="24" t="inlineStr">
        <x:is>
          <x:t xml:space="preserve"/>
        </x:is>
      </x:c>
      <x:c r="C128" s="28" t="inlineStr">
        <x:is>
          <x:t xml:space="preserve"/>
        </x:is>
      </x:c>
      <x:c r="D128" s="9" t="inlineStr">
        <x:is>
          <x:t xml:space="preserve"/>
        </x:is>
      </x:c>
      <x:c r="E128" s="9" t="inlineStr">
        <x:is>
          <x:t xml:space="preserve"/>
        </x:is>
      </x:c>
      <x:c r="F128" s="18">
        <x:f>IF(OR(C128="",D128=""),"",C128*D128)</x:f>
      </x:c>
      <x:c r="G128" s="18">
        <x:f>IF(OR(C128="",E128=""),"",C128*E128)</x:f>
      </x:c>
      <x:c r="H128" s="18">
        <x:f>IF(OR(F128="",G128=""),"",F128-G128)</x:f>
      </x:c>
      <x:c r="I128" s="30">
        <x:f>IF(A128="","",DATE(YEAR(A128),MONTH(A128),1))</x:f>
      </x:c>
    </x:row>
    <x:row r="129">
      <x:c r="A129" s="29" t="inlineStr">
        <x:is>
          <x:t xml:space="preserve"/>
        </x:is>
      </x:c>
      <x:c r="B129" s="24" t="inlineStr">
        <x:is>
          <x:t xml:space="preserve"/>
        </x:is>
      </x:c>
      <x:c r="C129" s="28" t="inlineStr">
        <x:is>
          <x:t xml:space="preserve"/>
        </x:is>
      </x:c>
      <x:c r="D129" s="9" t="inlineStr">
        <x:is>
          <x:t xml:space="preserve"/>
        </x:is>
      </x:c>
      <x:c r="E129" s="9" t="inlineStr">
        <x:is>
          <x:t xml:space="preserve"/>
        </x:is>
      </x:c>
      <x:c r="F129" s="18">
        <x:f>IF(OR(C129="",D129=""),"",C129*D129)</x:f>
      </x:c>
      <x:c r="G129" s="18">
        <x:f>IF(OR(C129="",E129=""),"",C129*E129)</x:f>
      </x:c>
      <x:c r="H129" s="18">
        <x:f>IF(OR(F129="",G129=""),"",F129-G129)</x:f>
      </x:c>
      <x:c r="I129" s="30">
        <x:f>IF(A129="","",DATE(YEAR(A129),MONTH(A129),1))</x:f>
      </x:c>
    </x:row>
    <x:row r="130">
      <x:c r="A130" s="29" t="inlineStr">
        <x:is>
          <x:t xml:space="preserve"/>
        </x:is>
      </x:c>
      <x:c r="B130" s="24" t="inlineStr">
        <x:is>
          <x:t xml:space="preserve"/>
        </x:is>
      </x:c>
      <x:c r="C130" s="28" t="inlineStr">
        <x:is>
          <x:t xml:space="preserve"/>
        </x:is>
      </x:c>
      <x:c r="D130" s="9" t="inlineStr">
        <x:is>
          <x:t xml:space="preserve"/>
        </x:is>
      </x:c>
      <x:c r="E130" s="9" t="inlineStr">
        <x:is>
          <x:t xml:space="preserve"/>
        </x:is>
      </x:c>
      <x:c r="F130" s="18">
        <x:f>IF(OR(C130="",D130=""),"",C130*D130)</x:f>
      </x:c>
      <x:c r="G130" s="18">
        <x:f>IF(OR(C130="",E130=""),"",C130*E130)</x:f>
      </x:c>
      <x:c r="H130" s="18">
        <x:f>IF(OR(F130="",G130=""),"",F130-G130)</x:f>
      </x:c>
      <x:c r="I130" s="30">
        <x:f>IF(A130="","",DATE(YEAR(A130),MONTH(A130),1))</x:f>
      </x:c>
    </x:row>
    <x:row r="131">
      <x:c r="A131" s="29" t="inlineStr">
        <x:is>
          <x:t xml:space="preserve"/>
        </x:is>
      </x:c>
      <x:c r="B131" s="24" t="inlineStr">
        <x:is>
          <x:t xml:space="preserve"/>
        </x:is>
      </x:c>
      <x:c r="C131" s="28" t="inlineStr">
        <x:is>
          <x:t xml:space="preserve"/>
        </x:is>
      </x:c>
      <x:c r="D131" s="9" t="inlineStr">
        <x:is>
          <x:t xml:space="preserve"/>
        </x:is>
      </x:c>
      <x:c r="E131" s="9" t="inlineStr">
        <x:is>
          <x:t xml:space="preserve"/>
        </x:is>
      </x:c>
      <x:c r="F131" s="18">
        <x:f>IF(OR(C131="",D131=""),"",C131*D131)</x:f>
      </x:c>
      <x:c r="G131" s="18">
        <x:f>IF(OR(C131="",E131=""),"",C131*E131)</x:f>
      </x:c>
      <x:c r="H131" s="18">
        <x:f>IF(OR(F131="",G131=""),"",F131-G131)</x:f>
      </x:c>
      <x:c r="I131" s="30">
        <x:f>IF(A131="","",DATE(YEAR(A131),MONTH(A131),1))</x:f>
      </x:c>
    </x:row>
    <x:row r="132">
      <x:c r="A132" s="29" t="inlineStr">
        <x:is>
          <x:t xml:space="preserve"/>
        </x:is>
      </x:c>
      <x:c r="B132" s="24" t="inlineStr">
        <x:is>
          <x:t xml:space="preserve"/>
        </x:is>
      </x:c>
      <x:c r="C132" s="28" t="inlineStr">
        <x:is>
          <x:t xml:space="preserve"/>
        </x:is>
      </x:c>
      <x:c r="D132" s="9" t="inlineStr">
        <x:is>
          <x:t xml:space="preserve"/>
        </x:is>
      </x:c>
      <x:c r="E132" s="9" t="inlineStr">
        <x:is>
          <x:t xml:space="preserve"/>
        </x:is>
      </x:c>
      <x:c r="F132" s="18">
        <x:f>IF(OR(C132="",D132=""),"",C132*D132)</x:f>
      </x:c>
      <x:c r="G132" s="18">
        <x:f>IF(OR(C132="",E132=""),"",C132*E132)</x:f>
      </x:c>
      <x:c r="H132" s="18">
        <x:f>IF(OR(F132="",G132=""),"",F132-G132)</x:f>
      </x:c>
      <x:c r="I132" s="30">
        <x:f>IF(A132="","",DATE(YEAR(A132),MONTH(A132),1))</x:f>
      </x:c>
    </x:row>
    <x:row r="133">
      <x:c r="A133" s="29" t="inlineStr">
        <x:is>
          <x:t xml:space="preserve"/>
        </x:is>
      </x:c>
      <x:c r="B133" s="24" t="inlineStr">
        <x:is>
          <x:t xml:space="preserve"/>
        </x:is>
      </x:c>
      <x:c r="C133" s="28" t="inlineStr">
        <x:is>
          <x:t xml:space="preserve"/>
        </x:is>
      </x:c>
      <x:c r="D133" s="9" t="inlineStr">
        <x:is>
          <x:t xml:space="preserve"/>
        </x:is>
      </x:c>
      <x:c r="E133" s="9" t="inlineStr">
        <x:is>
          <x:t xml:space="preserve"/>
        </x:is>
      </x:c>
      <x:c r="F133" s="18">
        <x:f>IF(OR(C133="",D133=""),"",C133*D133)</x:f>
      </x:c>
      <x:c r="G133" s="18">
        <x:f>IF(OR(C133="",E133=""),"",C133*E133)</x:f>
      </x:c>
      <x:c r="H133" s="18">
        <x:f>IF(OR(F133="",G133=""),"",F133-G133)</x:f>
      </x:c>
      <x:c r="I133" s="30">
        <x:f>IF(A133="","",DATE(YEAR(A133),MONTH(A133),1))</x:f>
      </x:c>
    </x:row>
    <x:row r="134">
      <x:c r="A134" s="29" t="inlineStr">
        <x:is>
          <x:t xml:space="preserve"/>
        </x:is>
      </x:c>
      <x:c r="B134" s="24" t="inlineStr">
        <x:is>
          <x:t xml:space="preserve"/>
        </x:is>
      </x:c>
      <x:c r="C134" s="28" t="inlineStr">
        <x:is>
          <x:t xml:space="preserve"/>
        </x:is>
      </x:c>
      <x:c r="D134" s="9" t="inlineStr">
        <x:is>
          <x:t xml:space="preserve"/>
        </x:is>
      </x:c>
      <x:c r="E134" s="9" t="inlineStr">
        <x:is>
          <x:t xml:space="preserve"/>
        </x:is>
      </x:c>
      <x:c r="F134" s="18">
        <x:f>IF(OR(C134="",D134=""),"",C134*D134)</x:f>
      </x:c>
      <x:c r="G134" s="18">
        <x:f>IF(OR(C134="",E134=""),"",C134*E134)</x:f>
      </x:c>
      <x:c r="H134" s="18">
        <x:f>IF(OR(F134="",G134=""),"",F134-G134)</x:f>
      </x:c>
      <x:c r="I134" s="30">
        <x:f>IF(A134="","",DATE(YEAR(A134),MONTH(A134),1))</x:f>
      </x:c>
    </x:row>
    <x:row r="135">
      <x:c r="A135" s="29" t="inlineStr">
        <x:is>
          <x:t xml:space="preserve"/>
        </x:is>
      </x:c>
      <x:c r="B135" s="24" t="inlineStr">
        <x:is>
          <x:t xml:space="preserve"/>
        </x:is>
      </x:c>
      <x:c r="C135" s="28" t="inlineStr">
        <x:is>
          <x:t xml:space="preserve"/>
        </x:is>
      </x:c>
      <x:c r="D135" s="9" t="inlineStr">
        <x:is>
          <x:t xml:space="preserve"/>
        </x:is>
      </x:c>
      <x:c r="E135" s="9" t="inlineStr">
        <x:is>
          <x:t xml:space="preserve"/>
        </x:is>
      </x:c>
      <x:c r="F135" s="18">
        <x:f>IF(OR(C135="",D135=""),"",C135*D135)</x:f>
      </x:c>
      <x:c r="G135" s="18">
        <x:f>IF(OR(C135="",E135=""),"",C135*E135)</x:f>
      </x:c>
      <x:c r="H135" s="18">
        <x:f>IF(OR(F135="",G135=""),"",F135-G135)</x:f>
      </x:c>
      <x:c r="I135" s="30">
        <x:f>IF(A135="","",DATE(YEAR(A135),MONTH(A135),1))</x:f>
      </x:c>
    </x:row>
    <x:row r="136">
      <x:c r="A136" s="29" t="inlineStr">
        <x:is>
          <x:t xml:space="preserve"/>
        </x:is>
      </x:c>
      <x:c r="B136" s="24" t="inlineStr">
        <x:is>
          <x:t xml:space="preserve"/>
        </x:is>
      </x:c>
      <x:c r="C136" s="28" t="inlineStr">
        <x:is>
          <x:t xml:space="preserve"/>
        </x:is>
      </x:c>
      <x:c r="D136" s="9" t="inlineStr">
        <x:is>
          <x:t xml:space="preserve"/>
        </x:is>
      </x:c>
      <x:c r="E136" s="9" t="inlineStr">
        <x:is>
          <x:t xml:space="preserve"/>
        </x:is>
      </x:c>
      <x:c r="F136" s="18">
        <x:f>IF(OR(C136="",D136=""),"",C136*D136)</x:f>
      </x:c>
      <x:c r="G136" s="18">
        <x:f>IF(OR(C136="",E136=""),"",C136*E136)</x:f>
      </x:c>
      <x:c r="H136" s="18">
        <x:f>IF(OR(F136="",G136=""),"",F136-G136)</x:f>
      </x:c>
      <x:c r="I136" s="30">
        <x:f>IF(A136="","",DATE(YEAR(A136),MONTH(A136),1))</x:f>
      </x:c>
    </x:row>
    <x:row r="137">
      <x:c r="A137" s="29" t="inlineStr">
        <x:is>
          <x:t xml:space="preserve"/>
        </x:is>
      </x:c>
      <x:c r="B137" s="24" t="inlineStr">
        <x:is>
          <x:t xml:space="preserve"/>
        </x:is>
      </x:c>
      <x:c r="C137" s="28" t="inlineStr">
        <x:is>
          <x:t xml:space="preserve"/>
        </x:is>
      </x:c>
      <x:c r="D137" s="9" t="inlineStr">
        <x:is>
          <x:t xml:space="preserve"/>
        </x:is>
      </x:c>
      <x:c r="E137" s="9" t="inlineStr">
        <x:is>
          <x:t xml:space="preserve"/>
        </x:is>
      </x:c>
      <x:c r="F137" s="18">
        <x:f>IF(OR(C137="",D137=""),"",C137*D137)</x:f>
      </x:c>
      <x:c r="G137" s="18">
        <x:f>IF(OR(C137="",E137=""),"",C137*E137)</x:f>
      </x:c>
      <x:c r="H137" s="18">
        <x:f>IF(OR(F137="",G137=""),"",F137-G137)</x:f>
      </x:c>
      <x:c r="I137" s="30">
        <x:f>IF(A137="","",DATE(YEAR(A137),MONTH(A137),1))</x:f>
      </x:c>
    </x:row>
    <x:row r="138">
      <x:c r="A138" s="29" t="inlineStr">
        <x:is>
          <x:t xml:space="preserve"/>
        </x:is>
      </x:c>
      <x:c r="B138" s="24" t="inlineStr">
        <x:is>
          <x:t xml:space="preserve"/>
        </x:is>
      </x:c>
      <x:c r="C138" s="28" t="inlineStr">
        <x:is>
          <x:t xml:space="preserve"/>
        </x:is>
      </x:c>
      <x:c r="D138" s="9" t="inlineStr">
        <x:is>
          <x:t xml:space="preserve"/>
        </x:is>
      </x:c>
      <x:c r="E138" s="9" t="inlineStr">
        <x:is>
          <x:t xml:space="preserve"/>
        </x:is>
      </x:c>
      <x:c r="F138" s="18">
        <x:f>IF(OR(C138="",D138=""),"",C138*D138)</x:f>
      </x:c>
      <x:c r="G138" s="18">
        <x:f>IF(OR(C138="",E138=""),"",C138*E138)</x:f>
      </x:c>
      <x:c r="H138" s="18">
        <x:f>IF(OR(F138="",G138=""),"",F138-G138)</x:f>
      </x:c>
      <x:c r="I138" s="30">
        <x:f>IF(A138="","",DATE(YEAR(A138),MONTH(A138),1))</x:f>
      </x:c>
    </x:row>
    <x:row r="139">
      <x:c r="A139" s="29" t="inlineStr">
        <x:is>
          <x:t xml:space="preserve"/>
        </x:is>
      </x:c>
      <x:c r="B139" s="24" t="inlineStr">
        <x:is>
          <x:t xml:space="preserve"/>
        </x:is>
      </x:c>
      <x:c r="C139" s="28" t="inlineStr">
        <x:is>
          <x:t xml:space="preserve"/>
        </x:is>
      </x:c>
      <x:c r="D139" s="9" t="inlineStr">
        <x:is>
          <x:t xml:space="preserve"/>
        </x:is>
      </x:c>
      <x:c r="E139" s="9" t="inlineStr">
        <x:is>
          <x:t xml:space="preserve"/>
        </x:is>
      </x:c>
      <x:c r="F139" s="18">
        <x:f>IF(OR(C139="",D139=""),"",C139*D139)</x:f>
      </x:c>
      <x:c r="G139" s="18">
        <x:f>IF(OR(C139="",E139=""),"",C139*E139)</x:f>
      </x:c>
      <x:c r="H139" s="18">
        <x:f>IF(OR(F139="",G139=""),"",F139-G139)</x:f>
      </x:c>
      <x:c r="I139" s="30">
        <x:f>IF(A139="","",DATE(YEAR(A139),MONTH(A139),1))</x:f>
      </x:c>
    </x:row>
    <x:row r="140">
      <x:c r="A140" s="29" t="inlineStr">
        <x:is>
          <x:t xml:space="preserve"/>
        </x:is>
      </x:c>
      <x:c r="B140" s="24" t="inlineStr">
        <x:is>
          <x:t xml:space="preserve"/>
        </x:is>
      </x:c>
      <x:c r="C140" s="28" t="inlineStr">
        <x:is>
          <x:t xml:space="preserve"/>
        </x:is>
      </x:c>
      <x:c r="D140" s="9" t="inlineStr">
        <x:is>
          <x:t xml:space="preserve"/>
        </x:is>
      </x:c>
      <x:c r="E140" s="9" t="inlineStr">
        <x:is>
          <x:t xml:space="preserve"/>
        </x:is>
      </x:c>
      <x:c r="F140" s="18">
        <x:f>IF(OR(C140="",D140=""),"",C140*D140)</x:f>
      </x:c>
      <x:c r="G140" s="18">
        <x:f>IF(OR(C140="",E140=""),"",C140*E140)</x:f>
      </x:c>
      <x:c r="H140" s="18">
        <x:f>IF(OR(F140="",G140=""),"",F140-G140)</x:f>
      </x:c>
      <x:c r="I140" s="30">
        <x:f>IF(A140="","",DATE(YEAR(A140),MONTH(A140),1))</x:f>
      </x:c>
    </x:row>
    <x:row r="141">
      <x:c r="A141" s="29" t="inlineStr">
        <x:is>
          <x:t xml:space="preserve"/>
        </x:is>
      </x:c>
      <x:c r="B141" s="24" t="inlineStr">
        <x:is>
          <x:t xml:space="preserve"/>
        </x:is>
      </x:c>
      <x:c r="C141" s="28" t="inlineStr">
        <x:is>
          <x:t xml:space="preserve"/>
        </x:is>
      </x:c>
      <x:c r="D141" s="9" t="inlineStr">
        <x:is>
          <x:t xml:space="preserve"/>
        </x:is>
      </x:c>
      <x:c r="E141" s="9" t="inlineStr">
        <x:is>
          <x:t xml:space="preserve"/>
        </x:is>
      </x:c>
      <x:c r="F141" s="18">
        <x:f>IF(OR(C141="",D141=""),"",C141*D141)</x:f>
      </x:c>
      <x:c r="G141" s="18">
        <x:f>IF(OR(C141="",E141=""),"",C141*E141)</x:f>
      </x:c>
      <x:c r="H141" s="18">
        <x:f>IF(OR(F141="",G141=""),"",F141-G141)</x:f>
      </x:c>
      <x:c r="I141" s="30">
        <x:f>IF(A141="","",DATE(YEAR(A141),MONTH(A141),1))</x:f>
      </x:c>
    </x:row>
    <x:row r="142">
      <x:c r="A142" s="29" t="inlineStr">
        <x:is>
          <x:t xml:space="preserve"/>
        </x:is>
      </x:c>
      <x:c r="B142" s="24" t="inlineStr">
        <x:is>
          <x:t xml:space="preserve"/>
        </x:is>
      </x:c>
      <x:c r="C142" s="28" t="inlineStr">
        <x:is>
          <x:t xml:space="preserve"/>
        </x:is>
      </x:c>
      <x:c r="D142" s="9" t="inlineStr">
        <x:is>
          <x:t xml:space="preserve"/>
        </x:is>
      </x:c>
      <x:c r="E142" s="9" t="inlineStr">
        <x:is>
          <x:t xml:space="preserve"/>
        </x:is>
      </x:c>
      <x:c r="F142" s="18">
        <x:f>IF(OR(C142="",D142=""),"",C142*D142)</x:f>
      </x:c>
      <x:c r="G142" s="18">
        <x:f>IF(OR(C142="",E142=""),"",C142*E142)</x:f>
      </x:c>
      <x:c r="H142" s="18">
        <x:f>IF(OR(F142="",G142=""),"",F142-G142)</x:f>
      </x:c>
      <x:c r="I142" s="30">
        <x:f>IF(A142="","",DATE(YEAR(A142),MONTH(A142),1))</x:f>
      </x:c>
    </x:row>
    <x:row r="143">
      <x:c r="A143" s="29" t="inlineStr">
        <x:is>
          <x:t xml:space="preserve"/>
        </x:is>
      </x:c>
      <x:c r="B143" s="24" t="inlineStr">
        <x:is>
          <x:t xml:space="preserve"/>
        </x:is>
      </x:c>
      <x:c r="C143" s="28" t="inlineStr">
        <x:is>
          <x:t xml:space="preserve"/>
        </x:is>
      </x:c>
      <x:c r="D143" s="9" t="inlineStr">
        <x:is>
          <x:t xml:space="preserve"/>
        </x:is>
      </x:c>
      <x:c r="E143" s="9" t="inlineStr">
        <x:is>
          <x:t xml:space="preserve"/>
        </x:is>
      </x:c>
      <x:c r="F143" s="18">
        <x:f>IF(OR(C143="",D143=""),"",C143*D143)</x:f>
      </x:c>
      <x:c r="G143" s="18">
        <x:f>IF(OR(C143="",E143=""),"",C143*E143)</x:f>
      </x:c>
      <x:c r="H143" s="18">
        <x:f>IF(OR(F143="",G143=""),"",F143-G143)</x:f>
      </x:c>
      <x:c r="I143" s="30">
        <x:f>IF(A143="","",DATE(YEAR(A143),MONTH(A143),1))</x:f>
      </x:c>
    </x:row>
    <x:row r="144">
      <x:c r="A144" s="29" t="inlineStr">
        <x:is>
          <x:t xml:space="preserve"/>
        </x:is>
      </x:c>
      <x:c r="B144" s="24" t="inlineStr">
        <x:is>
          <x:t xml:space="preserve"/>
        </x:is>
      </x:c>
      <x:c r="C144" s="28" t="inlineStr">
        <x:is>
          <x:t xml:space="preserve"/>
        </x:is>
      </x:c>
      <x:c r="D144" s="9" t="inlineStr">
        <x:is>
          <x:t xml:space="preserve"/>
        </x:is>
      </x:c>
      <x:c r="E144" s="9" t="inlineStr">
        <x:is>
          <x:t xml:space="preserve"/>
        </x:is>
      </x:c>
      <x:c r="F144" s="18">
        <x:f>IF(OR(C144="",D144=""),"",C144*D144)</x:f>
      </x:c>
      <x:c r="G144" s="18">
        <x:f>IF(OR(C144="",E144=""),"",C144*E144)</x:f>
      </x:c>
      <x:c r="H144" s="18">
        <x:f>IF(OR(F144="",G144=""),"",F144-G144)</x:f>
      </x:c>
      <x:c r="I144" s="30">
        <x:f>IF(A144="","",DATE(YEAR(A144),MONTH(A144),1))</x:f>
      </x:c>
    </x:row>
    <x:row r="145">
      <x:c r="A145" s="29" t="inlineStr">
        <x:is>
          <x:t xml:space="preserve"/>
        </x:is>
      </x:c>
      <x:c r="B145" s="24" t="inlineStr">
        <x:is>
          <x:t xml:space="preserve"/>
        </x:is>
      </x:c>
      <x:c r="C145" s="28" t="inlineStr">
        <x:is>
          <x:t xml:space="preserve"/>
        </x:is>
      </x:c>
      <x:c r="D145" s="9" t="inlineStr">
        <x:is>
          <x:t xml:space="preserve"/>
        </x:is>
      </x:c>
      <x:c r="E145" s="9" t="inlineStr">
        <x:is>
          <x:t xml:space="preserve"/>
        </x:is>
      </x:c>
      <x:c r="F145" s="18">
        <x:f>IF(OR(C145="",D145=""),"",C145*D145)</x:f>
      </x:c>
      <x:c r="G145" s="18">
        <x:f>IF(OR(C145="",E145=""),"",C145*E145)</x:f>
      </x:c>
      <x:c r="H145" s="18">
        <x:f>IF(OR(F145="",G145=""),"",F145-G145)</x:f>
      </x:c>
      <x:c r="I145" s="30">
        <x:f>IF(A145="","",DATE(YEAR(A145),MONTH(A145),1))</x:f>
      </x:c>
    </x:row>
    <x:row r="146">
      <x:c r="A146" s="29" t="inlineStr">
        <x:is>
          <x:t xml:space="preserve"/>
        </x:is>
      </x:c>
      <x:c r="B146" s="24" t="inlineStr">
        <x:is>
          <x:t xml:space="preserve"/>
        </x:is>
      </x:c>
      <x:c r="C146" s="28" t="inlineStr">
        <x:is>
          <x:t xml:space="preserve"/>
        </x:is>
      </x:c>
      <x:c r="D146" s="9" t="inlineStr">
        <x:is>
          <x:t xml:space="preserve"/>
        </x:is>
      </x:c>
      <x:c r="E146" s="9" t="inlineStr">
        <x:is>
          <x:t xml:space="preserve"/>
        </x:is>
      </x:c>
      <x:c r="F146" s="18">
        <x:f>IF(OR(C146="",D146=""),"",C146*D146)</x:f>
      </x:c>
      <x:c r="G146" s="18">
        <x:f>IF(OR(C146="",E146=""),"",C146*E146)</x:f>
      </x:c>
      <x:c r="H146" s="18">
        <x:f>IF(OR(F146="",G146=""),"",F146-G146)</x:f>
      </x:c>
      <x:c r="I146" s="30">
        <x:f>IF(A146="","",DATE(YEAR(A146),MONTH(A146),1))</x:f>
      </x:c>
    </x:row>
    <x:row r="147">
      <x:c r="A147" s="29" t="inlineStr">
        <x:is>
          <x:t xml:space="preserve"/>
        </x:is>
      </x:c>
      <x:c r="B147" s="24" t="inlineStr">
        <x:is>
          <x:t xml:space="preserve"/>
        </x:is>
      </x:c>
      <x:c r="C147" s="28" t="inlineStr">
        <x:is>
          <x:t xml:space="preserve"/>
        </x:is>
      </x:c>
      <x:c r="D147" s="9" t="inlineStr">
        <x:is>
          <x:t xml:space="preserve"/>
        </x:is>
      </x:c>
      <x:c r="E147" s="9" t="inlineStr">
        <x:is>
          <x:t xml:space="preserve"/>
        </x:is>
      </x:c>
      <x:c r="F147" s="18">
        <x:f>IF(OR(C147="",D147=""),"",C147*D147)</x:f>
      </x:c>
      <x:c r="G147" s="18">
        <x:f>IF(OR(C147="",E147=""),"",C147*E147)</x:f>
      </x:c>
      <x:c r="H147" s="18">
        <x:f>IF(OR(F147="",G147=""),"",F147-G147)</x:f>
      </x:c>
      <x:c r="I147" s="30">
        <x:f>IF(A147="","",DATE(YEAR(A147),MONTH(A147),1))</x:f>
      </x:c>
    </x:row>
    <x:row r="148">
      <x:c r="A148" s="29" t="inlineStr">
        <x:is>
          <x:t xml:space="preserve"/>
        </x:is>
      </x:c>
      <x:c r="B148" s="24" t="inlineStr">
        <x:is>
          <x:t xml:space="preserve"/>
        </x:is>
      </x:c>
      <x:c r="C148" s="28" t="inlineStr">
        <x:is>
          <x:t xml:space="preserve"/>
        </x:is>
      </x:c>
      <x:c r="D148" s="9" t="inlineStr">
        <x:is>
          <x:t xml:space="preserve"/>
        </x:is>
      </x:c>
      <x:c r="E148" s="9" t="inlineStr">
        <x:is>
          <x:t xml:space="preserve"/>
        </x:is>
      </x:c>
      <x:c r="F148" s="18">
        <x:f>IF(OR(C148="",D148=""),"",C148*D148)</x:f>
      </x:c>
      <x:c r="G148" s="18">
        <x:f>IF(OR(C148="",E148=""),"",C148*E148)</x:f>
      </x:c>
      <x:c r="H148" s="18">
        <x:f>IF(OR(F148="",G148=""),"",F148-G148)</x:f>
      </x:c>
      <x:c r="I148" s="30">
        <x:f>IF(A148="","",DATE(YEAR(A148),MONTH(A148),1))</x:f>
      </x:c>
    </x:row>
    <x:row r="149">
      <x:c r="A149" s="29" t="inlineStr">
        <x:is>
          <x:t xml:space="preserve"/>
        </x:is>
      </x:c>
      <x:c r="B149" s="24" t="inlineStr">
        <x:is>
          <x:t xml:space="preserve"/>
        </x:is>
      </x:c>
      <x:c r="C149" s="28" t="inlineStr">
        <x:is>
          <x:t xml:space="preserve"/>
        </x:is>
      </x:c>
      <x:c r="D149" s="9" t="inlineStr">
        <x:is>
          <x:t xml:space="preserve"/>
        </x:is>
      </x:c>
      <x:c r="E149" s="9" t="inlineStr">
        <x:is>
          <x:t xml:space="preserve"/>
        </x:is>
      </x:c>
      <x:c r="F149" s="18">
        <x:f>IF(OR(C149="",D149=""),"",C149*D149)</x:f>
      </x:c>
      <x:c r="G149" s="18">
        <x:f>IF(OR(C149="",E149=""),"",C149*E149)</x:f>
      </x:c>
      <x:c r="H149" s="18">
        <x:f>IF(OR(F149="",G149=""),"",F149-G149)</x:f>
      </x:c>
      <x:c r="I149" s="30">
        <x:f>IF(A149="","",DATE(YEAR(A149),MONTH(A149),1))</x:f>
      </x:c>
    </x:row>
    <x:row r="150">
      <x:c r="A150" s="29" t="inlineStr">
        <x:is>
          <x:t xml:space="preserve"/>
        </x:is>
      </x:c>
      <x:c r="B150" s="24" t="inlineStr">
        <x:is>
          <x:t xml:space="preserve"/>
        </x:is>
      </x:c>
      <x:c r="C150" s="28" t="inlineStr">
        <x:is>
          <x:t xml:space="preserve"/>
        </x:is>
      </x:c>
      <x:c r="D150" s="9" t="inlineStr">
        <x:is>
          <x:t xml:space="preserve"/>
        </x:is>
      </x:c>
      <x:c r="E150" s="9" t="inlineStr">
        <x:is>
          <x:t xml:space="preserve"/>
        </x:is>
      </x:c>
      <x:c r="F150" s="18">
        <x:f>IF(OR(C150="",D150=""),"",C150*D150)</x:f>
      </x:c>
      <x:c r="G150" s="18">
        <x:f>IF(OR(C150="",E150=""),"",C150*E150)</x:f>
      </x:c>
      <x:c r="H150" s="18">
        <x:f>IF(OR(F150="",G150=""),"",F150-G150)</x:f>
      </x:c>
      <x:c r="I150" s="30">
        <x:f>IF(A150="","",DATE(YEAR(A150),MONTH(A150),1))</x:f>
      </x:c>
    </x:row>
    <x:row r="151">
      <x:c r="A151" s="29" t="inlineStr">
        <x:is>
          <x:t xml:space="preserve"/>
        </x:is>
      </x:c>
      <x:c r="B151" s="24" t="inlineStr">
        <x:is>
          <x:t xml:space="preserve"/>
        </x:is>
      </x:c>
      <x:c r="C151" s="28" t="inlineStr">
        <x:is>
          <x:t xml:space="preserve"/>
        </x:is>
      </x:c>
      <x:c r="D151" s="9" t="inlineStr">
        <x:is>
          <x:t xml:space="preserve"/>
        </x:is>
      </x:c>
      <x:c r="E151" s="9" t="inlineStr">
        <x:is>
          <x:t xml:space="preserve"/>
        </x:is>
      </x:c>
      <x:c r="F151" s="18">
        <x:f>IF(OR(C151="",D151=""),"",C151*D151)</x:f>
      </x:c>
      <x:c r="G151" s="18">
        <x:f>IF(OR(C151="",E151=""),"",C151*E151)</x:f>
      </x:c>
      <x:c r="H151" s="18">
        <x:f>IF(OR(F151="",G151=""),"",F151-G151)</x:f>
      </x:c>
      <x:c r="I151" s="30">
        <x:f>IF(A151="","",DATE(YEAR(A151),MONTH(A151),1))</x:f>
      </x:c>
    </x:row>
    <x:row r="152">
      <x:c r="A152" s="29" t="inlineStr">
        <x:is>
          <x:t xml:space="preserve"/>
        </x:is>
      </x:c>
      <x:c r="B152" s="24" t="inlineStr">
        <x:is>
          <x:t xml:space="preserve"/>
        </x:is>
      </x:c>
      <x:c r="C152" s="28" t="inlineStr">
        <x:is>
          <x:t xml:space="preserve"/>
        </x:is>
      </x:c>
      <x:c r="D152" s="9" t="inlineStr">
        <x:is>
          <x:t xml:space="preserve"/>
        </x:is>
      </x:c>
      <x:c r="E152" s="9" t="inlineStr">
        <x:is>
          <x:t xml:space="preserve"/>
        </x:is>
      </x:c>
      <x:c r="F152" s="18">
        <x:f>IF(OR(C152="",D152=""),"",C152*D152)</x:f>
      </x:c>
      <x:c r="G152" s="18">
        <x:f>IF(OR(C152="",E152=""),"",C152*E152)</x:f>
      </x:c>
      <x:c r="H152" s="18">
        <x:f>IF(OR(F152="",G152=""),"",F152-G152)</x:f>
      </x:c>
      <x:c r="I152" s="30">
        <x:f>IF(A152="","",DATE(YEAR(A152),MONTH(A152),1))</x:f>
      </x:c>
    </x:row>
    <x:row r="153">
      <x:c r="A153" s="29" t="inlineStr">
        <x:is>
          <x:t xml:space="preserve"/>
        </x:is>
      </x:c>
      <x:c r="B153" s="24" t="inlineStr">
        <x:is>
          <x:t xml:space="preserve"/>
        </x:is>
      </x:c>
      <x:c r="C153" s="28" t="inlineStr">
        <x:is>
          <x:t xml:space="preserve"/>
        </x:is>
      </x:c>
      <x:c r="D153" s="9" t="inlineStr">
        <x:is>
          <x:t xml:space="preserve"/>
        </x:is>
      </x:c>
      <x:c r="E153" s="9" t="inlineStr">
        <x:is>
          <x:t xml:space="preserve"/>
        </x:is>
      </x:c>
      <x:c r="F153" s="18">
        <x:f>IF(OR(C153="",D153=""),"",C153*D153)</x:f>
      </x:c>
      <x:c r="G153" s="18">
        <x:f>IF(OR(C153="",E153=""),"",C153*E153)</x:f>
      </x:c>
      <x:c r="H153" s="18">
        <x:f>IF(OR(F153="",G153=""),"",F153-G153)</x:f>
      </x:c>
      <x:c r="I153" s="30">
        <x:f>IF(A153="","",DATE(YEAR(A153),MONTH(A153),1))</x:f>
      </x:c>
    </x:row>
    <x:row r="154">
      <x:c r="A154" s="29" t="inlineStr">
        <x:is>
          <x:t xml:space="preserve"/>
        </x:is>
      </x:c>
      <x:c r="B154" s="24" t="inlineStr">
        <x:is>
          <x:t xml:space="preserve"/>
        </x:is>
      </x:c>
      <x:c r="C154" s="28" t="inlineStr">
        <x:is>
          <x:t xml:space="preserve"/>
        </x:is>
      </x:c>
      <x:c r="D154" s="9" t="inlineStr">
        <x:is>
          <x:t xml:space="preserve"/>
        </x:is>
      </x:c>
      <x:c r="E154" s="9" t="inlineStr">
        <x:is>
          <x:t xml:space="preserve"/>
        </x:is>
      </x:c>
      <x:c r="F154" s="18">
        <x:f>IF(OR(C154="",D154=""),"",C154*D154)</x:f>
      </x:c>
      <x:c r="G154" s="18">
        <x:f>IF(OR(C154="",E154=""),"",C154*E154)</x:f>
      </x:c>
      <x:c r="H154" s="18">
        <x:f>IF(OR(F154="",G154=""),"",F154-G154)</x:f>
      </x:c>
      <x:c r="I154" s="30">
        <x:f>IF(A154="","",DATE(YEAR(A154),MONTH(A154),1))</x:f>
      </x:c>
    </x:row>
    <x:row r="155">
      <x:c r="A155" s="29" t="inlineStr">
        <x:is>
          <x:t xml:space="preserve"/>
        </x:is>
      </x:c>
      <x:c r="B155" s="24" t="inlineStr">
        <x:is>
          <x:t xml:space="preserve"/>
        </x:is>
      </x:c>
      <x:c r="C155" s="28" t="inlineStr">
        <x:is>
          <x:t xml:space="preserve"/>
        </x:is>
      </x:c>
      <x:c r="D155" s="9" t="inlineStr">
        <x:is>
          <x:t xml:space="preserve"/>
        </x:is>
      </x:c>
      <x:c r="E155" s="9" t="inlineStr">
        <x:is>
          <x:t xml:space="preserve"/>
        </x:is>
      </x:c>
      <x:c r="F155" s="18">
        <x:f>IF(OR(C155="",D155=""),"",C155*D155)</x:f>
      </x:c>
      <x:c r="G155" s="18">
        <x:f>IF(OR(C155="",E155=""),"",C155*E155)</x:f>
      </x:c>
      <x:c r="H155" s="18">
        <x:f>IF(OR(F155="",G155=""),"",F155-G155)</x:f>
      </x:c>
      <x:c r="I155" s="30">
        <x:f>IF(A155="","",DATE(YEAR(A155),MONTH(A155),1))</x:f>
      </x:c>
    </x:row>
    <x:row r="156">
      <x:c r="A156" s="29" t="inlineStr">
        <x:is>
          <x:t xml:space="preserve"/>
        </x:is>
      </x:c>
      <x:c r="B156" s="24" t="inlineStr">
        <x:is>
          <x:t xml:space="preserve"/>
        </x:is>
      </x:c>
      <x:c r="C156" s="28" t="inlineStr">
        <x:is>
          <x:t xml:space="preserve"/>
        </x:is>
      </x:c>
      <x:c r="D156" s="9" t="inlineStr">
        <x:is>
          <x:t xml:space="preserve"/>
        </x:is>
      </x:c>
      <x:c r="E156" s="9" t="inlineStr">
        <x:is>
          <x:t xml:space="preserve"/>
        </x:is>
      </x:c>
      <x:c r="F156" s="18">
        <x:f>IF(OR(C156="",D156=""),"",C156*D156)</x:f>
      </x:c>
      <x:c r="G156" s="18">
        <x:f>IF(OR(C156="",E156=""),"",C156*E156)</x:f>
      </x:c>
      <x:c r="H156" s="18">
        <x:f>IF(OR(F156="",G156=""),"",F156-G156)</x:f>
      </x:c>
      <x:c r="I156" s="30">
        <x:f>IF(A156="","",DATE(YEAR(A156),MONTH(A156),1))</x:f>
      </x:c>
    </x:row>
    <x:row r="157">
      <x:c r="A157" s="29" t="inlineStr">
        <x:is>
          <x:t xml:space="preserve"/>
        </x:is>
      </x:c>
      <x:c r="B157" s="24" t="inlineStr">
        <x:is>
          <x:t xml:space="preserve"/>
        </x:is>
      </x:c>
      <x:c r="C157" s="28" t="inlineStr">
        <x:is>
          <x:t xml:space="preserve"/>
        </x:is>
      </x:c>
      <x:c r="D157" s="9" t="inlineStr">
        <x:is>
          <x:t xml:space="preserve"/>
        </x:is>
      </x:c>
      <x:c r="E157" s="9" t="inlineStr">
        <x:is>
          <x:t xml:space="preserve"/>
        </x:is>
      </x:c>
      <x:c r="F157" s="18">
        <x:f>IF(OR(C157="",D157=""),"",C157*D157)</x:f>
      </x:c>
      <x:c r="G157" s="18">
        <x:f>IF(OR(C157="",E157=""),"",C157*E157)</x:f>
      </x:c>
      <x:c r="H157" s="18">
        <x:f>IF(OR(F157="",G157=""),"",F157-G157)</x:f>
      </x:c>
      <x:c r="I157" s="30">
        <x:f>IF(A157="","",DATE(YEAR(A157),MONTH(A157),1))</x:f>
      </x:c>
    </x:row>
    <x:row r="158">
      <x:c r="A158" s="29" t="inlineStr">
        <x:is>
          <x:t xml:space="preserve"/>
        </x:is>
      </x:c>
      <x:c r="B158" s="24" t="inlineStr">
        <x:is>
          <x:t xml:space="preserve"/>
        </x:is>
      </x:c>
      <x:c r="C158" s="28" t="inlineStr">
        <x:is>
          <x:t xml:space="preserve"/>
        </x:is>
      </x:c>
      <x:c r="D158" s="9" t="inlineStr">
        <x:is>
          <x:t xml:space="preserve"/>
        </x:is>
      </x:c>
      <x:c r="E158" s="9" t="inlineStr">
        <x:is>
          <x:t xml:space="preserve"/>
        </x:is>
      </x:c>
      <x:c r="F158" s="18">
        <x:f>IF(OR(C158="",D158=""),"",C158*D158)</x:f>
      </x:c>
      <x:c r="G158" s="18">
        <x:f>IF(OR(C158="",E158=""),"",C158*E158)</x:f>
      </x:c>
      <x:c r="H158" s="18">
        <x:f>IF(OR(F158="",G158=""),"",F158-G158)</x:f>
      </x:c>
      <x:c r="I158" s="30">
        <x:f>IF(A158="","",DATE(YEAR(A158),MONTH(A158),1))</x:f>
      </x:c>
    </x:row>
    <x:row r="159">
      <x:c r="A159" s="29" t="inlineStr">
        <x:is>
          <x:t xml:space="preserve"/>
        </x:is>
      </x:c>
      <x:c r="B159" s="24" t="inlineStr">
        <x:is>
          <x:t xml:space="preserve"/>
        </x:is>
      </x:c>
      <x:c r="C159" s="28" t="inlineStr">
        <x:is>
          <x:t xml:space="preserve"/>
        </x:is>
      </x:c>
      <x:c r="D159" s="9" t="inlineStr">
        <x:is>
          <x:t xml:space="preserve"/>
        </x:is>
      </x:c>
      <x:c r="E159" s="9" t="inlineStr">
        <x:is>
          <x:t xml:space="preserve"/>
        </x:is>
      </x:c>
      <x:c r="F159" s="18">
        <x:f>IF(OR(C159="",D159=""),"",C159*D159)</x:f>
      </x:c>
      <x:c r="G159" s="18">
        <x:f>IF(OR(C159="",E159=""),"",C159*E159)</x:f>
      </x:c>
      <x:c r="H159" s="18">
        <x:f>IF(OR(F159="",G159=""),"",F159-G159)</x:f>
      </x:c>
      <x:c r="I159" s="30">
        <x:f>IF(A159="","",DATE(YEAR(A159),MONTH(A159),1))</x:f>
      </x:c>
    </x:row>
    <x:row r="160">
      <x:c r="A160" s="29" t="inlineStr">
        <x:is>
          <x:t xml:space="preserve"/>
        </x:is>
      </x:c>
      <x:c r="B160" s="24" t="inlineStr">
        <x:is>
          <x:t xml:space="preserve"/>
        </x:is>
      </x:c>
      <x:c r="C160" s="28" t="inlineStr">
        <x:is>
          <x:t xml:space="preserve"/>
        </x:is>
      </x:c>
      <x:c r="D160" s="9" t="inlineStr">
        <x:is>
          <x:t xml:space="preserve"/>
        </x:is>
      </x:c>
      <x:c r="E160" s="9" t="inlineStr">
        <x:is>
          <x:t xml:space="preserve"/>
        </x:is>
      </x:c>
      <x:c r="F160" s="18">
        <x:f>IF(OR(C160="",D160=""),"",C160*D160)</x:f>
      </x:c>
      <x:c r="G160" s="18">
        <x:f>IF(OR(C160="",E160=""),"",C160*E160)</x:f>
      </x:c>
      <x:c r="H160" s="18">
        <x:f>IF(OR(F160="",G160=""),"",F160-G160)</x:f>
      </x:c>
      <x:c r="I160" s="30">
        <x:f>IF(A160="","",DATE(YEAR(A160),MONTH(A160),1))</x:f>
      </x:c>
    </x:row>
    <x:row r="161">
      <x:c r="A161" s="29" t="inlineStr">
        <x:is>
          <x:t xml:space="preserve"/>
        </x:is>
      </x:c>
      <x:c r="B161" s="24" t="inlineStr">
        <x:is>
          <x:t xml:space="preserve"/>
        </x:is>
      </x:c>
      <x:c r="C161" s="28" t="inlineStr">
        <x:is>
          <x:t xml:space="preserve"/>
        </x:is>
      </x:c>
      <x:c r="D161" s="9" t="inlineStr">
        <x:is>
          <x:t xml:space="preserve"/>
        </x:is>
      </x:c>
      <x:c r="E161" s="9" t="inlineStr">
        <x:is>
          <x:t xml:space="preserve"/>
        </x:is>
      </x:c>
      <x:c r="F161" s="18">
        <x:f>IF(OR(C161="",D161=""),"",C161*D161)</x:f>
      </x:c>
      <x:c r="G161" s="18">
        <x:f>IF(OR(C161="",E161=""),"",C161*E161)</x:f>
      </x:c>
      <x:c r="H161" s="18">
        <x:f>IF(OR(F161="",G161=""),"",F161-G161)</x:f>
      </x:c>
      <x:c r="I161" s="30">
        <x:f>IF(A161="","",DATE(YEAR(A161),MONTH(A161),1))</x:f>
      </x:c>
    </x:row>
    <x:row r="162">
      <x:c r="A162" s="29" t="inlineStr">
        <x:is>
          <x:t xml:space="preserve"/>
        </x:is>
      </x:c>
      <x:c r="B162" s="24" t="inlineStr">
        <x:is>
          <x:t xml:space="preserve"/>
        </x:is>
      </x:c>
      <x:c r="C162" s="28" t="inlineStr">
        <x:is>
          <x:t xml:space="preserve"/>
        </x:is>
      </x:c>
      <x:c r="D162" s="9" t="inlineStr">
        <x:is>
          <x:t xml:space="preserve"/>
        </x:is>
      </x:c>
      <x:c r="E162" s="9" t="inlineStr">
        <x:is>
          <x:t xml:space="preserve"/>
        </x:is>
      </x:c>
      <x:c r="F162" s="18">
        <x:f>IF(OR(C162="",D162=""),"",C162*D162)</x:f>
      </x:c>
      <x:c r="G162" s="18">
        <x:f>IF(OR(C162="",E162=""),"",C162*E162)</x:f>
      </x:c>
      <x:c r="H162" s="18">
        <x:f>IF(OR(F162="",G162=""),"",F162-G162)</x:f>
      </x:c>
      <x:c r="I162" s="30">
        <x:f>IF(A162="","",DATE(YEAR(A162),MONTH(A162),1))</x:f>
      </x:c>
    </x:row>
    <x:row r="163">
      <x:c r="A163" s="29" t="inlineStr">
        <x:is>
          <x:t xml:space="preserve"/>
        </x:is>
      </x:c>
      <x:c r="B163" s="24" t="inlineStr">
        <x:is>
          <x:t xml:space="preserve"/>
        </x:is>
      </x:c>
      <x:c r="C163" s="28" t="inlineStr">
        <x:is>
          <x:t xml:space="preserve"/>
        </x:is>
      </x:c>
      <x:c r="D163" s="9" t="inlineStr">
        <x:is>
          <x:t xml:space="preserve"/>
        </x:is>
      </x:c>
      <x:c r="E163" s="9" t="inlineStr">
        <x:is>
          <x:t xml:space="preserve"/>
        </x:is>
      </x:c>
      <x:c r="F163" s="18">
        <x:f>IF(OR(C163="",D163=""),"",C163*D163)</x:f>
      </x:c>
      <x:c r="G163" s="18">
        <x:f>IF(OR(C163="",E163=""),"",C163*E163)</x:f>
      </x:c>
      <x:c r="H163" s="18">
        <x:f>IF(OR(F163="",G163=""),"",F163-G163)</x:f>
      </x:c>
      <x:c r="I163" s="30">
        <x:f>IF(A163="","",DATE(YEAR(A163),MONTH(A163),1))</x:f>
      </x:c>
    </x:row>
    <x:row r="164">
      <x:c r="A164" s="29" t="inlineStr">
        <x:is>
          <x:t xml:space="preserve"/>
        </x:is>
      </x:c>
      <x:c r="B164" s="24" t="inlineStr">
        <x:is>
          <x:t xml:space="preserve"/>
        </x:is>
      </x:c>
      <x:c r="C164" s="28" t="inlineStr">
        <x:is>
          <x:t xml:space="preserve"/>
        </x:is>
      </x:c>
      <x:c r="D164" s="9" t="inlineStr">
        <x:is>
          <x:t xml:space="preserve"/>
        </x:is>
      </x:c>
      <x:c r="E164" s="9" t="inlineStr">
        <x:is>
          <x:t xml:space="preserve"/>
        </x:is>
      </x:c>
      <x:c r="F164" s="18">
        <x:f>IF(OR(C164="",D164=""),"",C164*D164)</x:f>
      </x:c>
      <x:c r="G164" s="18">
        <x:f>IF(OR(C164="",E164=""),"",C164*E164)</x:f>
      </x:c>
      <x:c r="H164" s="18">
        <x:f>IF(OR(F164="",G164=""),"",F164-G164)</x:f>
      </x:c>
      <x:c r="I164" s="30">
        <x:f>IF(A164="","",DATE(YEAR(A164),MONTH(A164),1))</x:f>
      </x:c>
    </x:row>
    <x:row r="165">
      <x:c r="A165" s="29" t="inlineStr">
        <x:is>
          <x:t xml:space="preserve"/>
        </x:is>
      </x:c>
      <x:c r="B165" s="24" t="inlineStr">
        <x:is>
          <x:t xml:space="preserve"/>
        </x:is>
      </x:c>
      <x:c r="C165" s="28" t="inlineStr">
        <x:is>
          <x:t xml:space="preserve"/>
        </x:is>
      </x:c>
      <x:c r="D165" s="9" t="inlineStr">
        <x:is>
          <x:t xml:space="preserve"/>
        </x:is>
      </x:c>
      <x:c r="E165" s="9" t="inlineStr">
        <x:is>
          <x:t xml:space="preserve"/>
        </x:is>
      </x:c>
      <x:c r="F165" s="18">
        <x:f>IF(OR(C165="",D165=""),"",C165*D165)</x:f>
      </x:c>
      <x:c r="G165" s="18">
        <x:f>IF(OR(C165="",E165=""),"",C165*E165)</x:f>
      </x:c>
      <x:c r="H165" s="18">
        <x:f>IF(OR(F165="",G165=""),"",F165-G165)</x:f>
      </x:c>
      <x:c r="I165" s="30">
        <x:f>IF(A165="","",DATE(YEAR(A165),MONTH(A165),1))</x:f>
      </x:c>
    </x:row>
    <x:row r="166">
      <x:c r="A166" s="29" t="inlineStr">
        <x:is>
          <x:t xml:space="preserve"/>
        </x:is>
      </x:c>
      <x:c r="B166" s="24" t="inlineStr">
        <x:is>
          <x:t xml:space="preserve"/>
        </x:is>
      </x:c>
      <x:c r="C166" s="28" t="inlineStr">
        <x:is>
          <x:t xml:space="preserve"/>
        </x:is>
      </x:c>
      <x:c r="D166" s="9" t="inlineStr">
        <x:is>
          <x:t xml:space="preserve"/>
        </x:is>
      </x:c>
      <x:c r="E166" s="9" t="inlineStr">
        <x:is>
          <x:t xml:space="preserve"/>
        </x:is>
      </x:c>
      <x:c r="F166" s="18">
        <x:f>IF(OR(C166="",D166=""),"",C166*D166)</x:f>
      </x:c>
      <x:c r="G166" s="18">
        <x:f>IF(OR(C166="",E166=""),"",C166*E166)</x:f>
      </x:c>
      <x:c r="H166" s="18">
        <x:f>IF(OR(F166="",G166=""),"",F166-G166)</x:f>
      </x:c>
      <x:c r="I166" s="30">
        <x:f>IF(A166="","",DATE(YEAR(A166),MONTH(A166),1))</x:f>
      </x:c>
    </x:row>
    <x:row r="167">
      <x:c r="A167" s="29" t="inlineStr">
        <x:is>
          <x:t xml:space="preserve"/>
        </x:is>
      </x:c>
      <x:c r="B167" s="24" t="inlineStr">
        <x:is>
          <x:t xml:space="preserve"/>
        </x:is>
      </x:c>
      <x:c r="C167" s="28" t="inlineStr">
        <x:is>
          <x:t xml:space="preserve"/>
        </x:is>
      </x:c>
      <x:c r="D167" s="9" t="inlineStr">
        <x:is>
          <x:t xml:space="preserve"/>
        </x:is>
      </x:c>
      <x:c r="E167" s="9" t="inlineStr">
        <x:is>
          <x:t xml:space="preserve"/>
        </x:is>
      </x:c>
      <x:c r="F167" s="18">
        <x:f>IF(OR(C167="",D167=""),"",C167*D167)</x:f>
      </x:c>
      <x:c r="G167" s="18">
        <x:f>IF(OR(C167="",E167=""),"",C167*E167)</x:f>
      </x:c>
      <x:c r="H167" s="18">
        <x:f>IF(OR(F167="",G167=""),"",F167-G167)</x:f>
      </x:c>
      <x:c r="I167" s="30">
        <x:f>IF(A167="","",DATE(YEAR(A167),MONTH(A167),1))</x:f>
      </x:c>
    </x:row>
    <x:row r="168">
      <x:c r="A168" s="29" t="inlineStr">
        <x:is>
          <x:t xml:space="preserve"/>
        </x:is>
      </x:c>
      <x:c r="B168" s="24" t="inlineStr">
        <x:is>
          <x:t xml:space="preserve"/>
        </x:is>
      </x:c>
      <x:c r="C168" s="28" t="inlineStr">
        <x:is>
          <x:t xml:space="preserve"/>
        </x:is>
      </x:c>
      <x:c r="D168" s="9" t="inlineStr">
        <x:is>
          <x:t xml:space="preserve"/>
        </x:is>
      </x:c>
      <x:c r="E168" s="9" t="inlineStr">
        <x:is>
          <x:t xml:space="preserve"/>
        </x:is>
      </x:c>
      <x:c r="F168" s="18">
        <x:f>IF(OR(C168="",D168=""),"",C168*D168)</x:f>
      </x:c>
      <x:c r="G168" s="18">
        <x:f>IF(OR(C168="",E168=""),"",C168*E168)</x:f>
      </x:c>
      <x:c r="H168" s="18">
        <x:f>IF(OR(F168="",G168=""),"",F168-G168)</x:f>
      </x:c>
      <x:c r="I168" s="30">
        <x:f>IF(A168="","",DATE(YEAR(A168),MONTH(A168),1))</x:f>
      </x:c>
    </x:row>
    <x:row r="169">
      <x:c r="A169" s="29" t="inlineStr">
        <x:is>
          <x:t xml:space="preserve"/>
        </x:is>
      </x:c>
      <x:c r="B169" s="24" t="inlineStr">
        <x:is>
          <x:t xml:space="preserve"/>
        </x:is>
      </x:c>
      <x:c r="C169" s="28" t="inlineStr">
        <x:is>
          <x:t xml:space="preserve"/>
        </x:is>
      </x:c>
      <x:c r="D169" s="9" t="inlineStr">
        <x:is>
          <x:t xml:space="preserve"/>
        </x:is>
      </x:c>
      <x:c r="E169" s="9" t="inlineStr">
        <x:is>
          <x:t xml:space="preserve"/>
        </x:is>
      </x:c>
      <x:c r="F169" s="18">
        <x:f>IF(OR(C169="",D169=""),"",C169*D169)</x:f>
      </x:c>
      <x:c r="G169" s="18">
        <x:f>IF(OR(C169="",E169=""),"",C169*E169)</x:f>
      </x:c>
      <x:c r="H169" s="18">
        <x:f>IF(OR(F169="",G169=""),"",F169-G169)</x:f>
      </x:c>
      <x:c r="I169" s="30">
        <x:f>IF(A169="","",DATE(YEAR(A169),MONTH(A169),1))</x:f>
      </x:c>
    </x:row>
    <x:row r="170">
      <x:c r="A170" s="29" t="inlineStr">
        <x:is>
          <x:t xml:space="preserve"/>
        </x:is>
      </x:c>
      <x:c r="B170" s="24" t="inlineStr">
        <x:is>
          <x:t xml:space="preserve"/>
        </x:is>
      </x:c>
      <x:c r="C170" s="28" t="inlineStr">
        <x:is>
          <x:t xml:space="preserve"/>
        </x:is>
      </x:c>
      <x:c r="D170" s="9" t="inlineStr">
        <x:is>
          <x:t xml:space="preserve"/>
        </x:is>
      </x:c>
      <x:c r="E170" s="9" t="inlineStr">
        <x:is>
          <x:t xml:space="preserve"/>
        </x:is>
      </x:c>
      <x:c r="F170" s="18">
        <x:f>IF(OR(C170="",D170=""),"",C170*D170)</x:f>
      </x:c>
      <x:c r="G170" s="18">
        <x:f>IF(OR(C170="",E170=""),"",C170*E170)</x:f>
      </x:c>
      <x:c r="H170" s="18">
        <x:f>IF(OR(F170="",G170=""),"",F170-G170)</x:f>
      </x:c>
      <x:c r="I170" s="30">
        <x:f>IF(A170="","",DATE(YEAR(A170),MONTH(A170),1))</x:f>
      </x:c>
    </x:row>
    <x:row r="171">
      <x:c r="A171" s="29" t="inlineStr">
        <x:is>
          <x:t xml:space="preserve"/>
        </x:is>
      </x:c>
      <x:c r="B171" s="24" t="inlineStr">
        <x:is>
          <x:t xml:space="preserve"/>
        </x:is>
      </x:c>
      <x:c r="C171" s="28" t="inlineStr">
        <x:is>
          <x:t xml:space="preserve"/>
        </x:is>
      </x:c>
      <x:c r="D171" s="9" t="inlineStr">
        <x:is>
          <x:t xml:space="preserve"/>
        </x:is>
      </x:c>
      <x:c r="E171" s="9" t="inlineStr">
        <x:is>
          <x:t xml:space="preserve"/>
        </x:is>
      </x:c>
      <x:c r="F171" s="18">
        <x:f>IF(OR(C171="",D171=""),"",C171*D171)</x:f>
      </x:c>
      <x:c r="G171" s="18">
        <x:f>IF(OR(C171="",E171=""),"",C171*E171)</x:f>
      </x:c>
      <x:c r="H171" s="18">
        <x:f>IF(OR(F171="",G171=""),"",F171-G171)</x:f>
      </x:c>
      <x:c r="I171" s="30">
        <x:f>IF(A171="","",DATE(YEAR(A171),MONTH(A171),1))</x:f>
      </x:c>
    </x:row>
    <x:row r="172">
      <x:c r="A172" s="29" t="inlineStr">
        <x:is>
          <x:t xml:space="preserve"/>
        </x:is>
      </x:c>
      <x:c r="B172" s="24" t="inlineStr">
        <x:is>
          <x:t xml:space="preserve"/>
        </x:is>
      </x:c>
      <x:c r="C172" s="28" t="inlineStr">
        <x:is>
          <x:t xml:space="preserve"/>
        </x:is>
      </x:c>
      <x:c r="D172" s="9" t="inlineStr">
        <x:is>
          <x:t xml:space="preserve"/>
        </x:is>
      </x:c>
      <x:c r="E172" s="9" t="inlineStr">
        <x:is>
          <x:t xml:space="preserve"/>
        </x:is>
      </x:c>
      <x:c r="F172" s="18">
        <x:f>IF(OR(C172="",D172=""),"",C172*D172)</x:f>
      </x:c>
      <x:c r="G172" s="18">
        <x:f>IF(OR(C172="",E172=""),"",C172*E172)</x:f>
      </x:c>
      <x:c r="H172" s="18">
        <x:f>IF(OR(F172="",G172=""),"",F172-G172)</x:f>
      </x:c>
      <x:c r="I172" s="30">
        <x:f>IF(A172="","",DATE(YEAR(A172),MONTH(A172),1))</x:f>
      </x:c>
    </x:row>
    <x:row r="173">
      <x:c r="A173" s="29" t="inlineStr">
        <x:is>
          <x:t xml:space="preserve"/>
        </x:is>
      </x:c>
      <x:c r="B173" s="24" t="inlineStr">
        <x:is>
          <x:t xml:space="preserve"/>
        </x:is>
      </x:c>
      <x:c r="C173" s="28" t="inlineStr">
        <x:is>
          <x:t xml:space="preserve"/>
        </x:is>
      </x:c>
      <x:c r="D173" s="9" t="inlineStr">
        <x:is>
          <x:t xml:space="preserve"/>
        </x:is>
      </x:c>
      <x:c r="E173" s="9" t="inlineStr">
        <x:is>
          <x:t xml:space="preserve"/>
        </x:is>
      </x:c>
      <x:c r="F173" s="18">
        <x:f>IF(OR(C173="",D173=""),"",C173*D173)</x:f>
      </x:c>
      <x:c r="G173" s="18">
        <x:f>IF(OR(C173="",E173=""),"",C173*E173)</x:f>
      </x:c>
      <x:c r="H173" s="18">
        <x:f>IF(OR(F173="",G173=""),"",F173-G173)</x:f>
      </x:c>
      <x:c r="I173" s="30">
        <x:f>IF(A173="","",DATE(YEAR(A173),MONTH(A173),1))</x:f>
      </x:c>
    </x:row>
    <x:row r="174">
      <x:c r="A174" s="29" t="inlineStr">
        <x:is>
          <x:t xml:space="preserve"/>
        </x:is>
      </x:c>
      <x:c r="B174" s="24" t="inlineStr">
        <x:is>
          <x:t xml:space="preserve"/>
        </x:is>
      </x:c>
      <x:c r="C174" s="28" t="inlineStr">
        <x:is>
          <x:t xml:space="preserve"/>
        </x:is>
      </x:c>
      <x:c r="D174" s="9" t="inlineStr">
        <x:is>
          <x:t xml:space="preserve"/>
        </x:is>
      </x:c>
      <x:c r="E174" s="9" t="inlineStr">
        <x:is>
          <x:t xml:space="preserve"/>
        </x:is>
      </x:c>
      <x:c r="F174" s="18">
        <x:f>IF(OR(C174="",D174=""),"",C174*D174)</x:f>
      </x:c>
      <x:c r="G174" s="18">
        <x:f>IF(OR(C174="",E174=""),"",C174*E174)</x:f>
      </x:c>
      <x:c r="H174" s="18">
        <x:f>IF(OR(F174="",G174=""),"",F174-G174)</x:f>
      </x:c>
      <x:c r="I174" s="30">
        <x:f>IF(A174="","",DATE(YEAR(A174),MONTH(A174),1))</x:f>
      </x:c>
    </x:row>
    <x:row r="175">
      <x:c r="A175" s="29" t="inlineStr">
        <x:is>
          <x:t xml:space="preserve"/>
        </x:is>
      </x:c>
      <x:c r="B175" s="24" t="inlineStr">
        <x:is>
          <x:t xml:space="preserve"/>
        </x:is>
      </x:c>
      <x:c r="C175" s="28" t="inlineStr">
        <x:is>
          <x:t xml:space="preserve"/>
        </x:is>
      </x:c>
      <x:c r="D175" s="9" t="inlineStr">
        <x:is>
          <x:t xml:space="preserve"/>
        </x:is>
      </x:c>
      <x:c r="E175" s="9" t="inlineStr">
        <x:is>
          <x:t xml:space="preserve"/>
        </x:is>
      </x:c>
      <x:c r="F175" s="18">
        <x:f>IF(OR(C175="",D175=""),"",C175*D175)</x:f>
      </x:c>
      <x:c r="G175" s="18">
        <x:f>IF(OR(C175="",E175=""),"",C175*E175)</x:f>
      </x:c>
      <x:c r="H175" s="18">
        <x:f>IF(OR(F175="",G175=""),"",F175-G175)</x:f>
      </x:c>
      <x:c r="I175" s="30">
        <x:f>IF(A175="","",DATE(YEAR(A175),MONTH(A175),1))</x:f>
      </x:c>
    </x:row>
    <x:row r="176">
      <x:c r="A176" s="29" t="inlineStr">
        <x:is>
          <x:t xml:space="preserve"/>
        </x:is>
      </x:c>
      <x:c r="B176" s="24" t="inlineStr">
        <x:is>
          <x:t xml:space="preserve"/>
        </x:is>
      </x:c>
      <x:c r="C176" s="28" t="inlineStr">
        <x:is>
          <x:t xml:space="preserve"/>
        </x:is>
      </x:c>
      <x:c r="D176" s="9" t="inlineStr">
        <x:is>
          <x:t xml:space="preserve"/>
        </x:is>
      </x:c>
      <x:c r="E176" s="9" t="inlineStr">
        <x:is>
          <x:t xml:space="preserve"/>
        </x:is>
      </x:c>
      <x:c r="F176" s="18">
        <x:f>IF(OR(C176="",D176=""),"",C176*D176)</x:f>
      </x:c>
      <x:c r="G176" s="18">
        <x:f>IF(OR(C176="",E176=""),"",C176*E176)</x:f>
      </x:c>
      <x:c r="H176" s="18">
        <x:f>IF(OR(F176="",G176=""),"",F176-G176)</x:f>
      </x:c>
      <x:c r="I176" s="30">
        <x:f>IF(A176="","",DATE(YEAR(A176),MONTH(A176),1))</x:f>
      </x:c>
    </x:row>
    <x:row r="177">
      <x:c r="A177" s="29" t="inlineStr">
        <x:is>
          <x:t xml:space="preserve"/>
        </x:is>
      </x:c>
      <x:c r="B177" s="24" t="inlineStr">
        <x:is>
          <x:t xml:space="preserve"/>
        </x:is>
      </x:c>
      <x:c r="C177" s="28" t="inlineStr">
        <x:is>
          <x:t xml:space="preserve"/>
        </x:is>
      </x:c>
      <x:c r="D177" s="9" t="inlineStr">
        <x:is>
          <x:t xml:space="preserve"/>
        </x:is>
      </x:c>
      <x:c r="E177" s="9" t="inlineStr">
        <x:is>
          <x:t xml:space="preserve"/>
        </x:is>
      </x:c>
      <x:c r="F177" s="18">
        <x:f>IF(OR(C177="",D177=""),"",C177*D177)</x:f>
      </x:c>
      <x:c r="G177" s="18">
        <x:f>IF(OR(C177="",E177=""),"",C177*E177)</x:f>
      </x:c>
      <x:c r="H177" s="18">
        <x:f>IF(OR(F177="",G177=""),"",F177-G177)</x:f>
      </x:c>
      <x:c r="I177" s="30">
        <x:f>IF(A177="","",DATE(YEAR(A177),MONTH(A177),1))</x:f>
      </x:c>
    </x:row>
    <x:row r="178">
      <x:c r="A178" s="29" t="inlineStr">
        <x:is>
          <x:t xml:space="preserve"/>
        </x:is>
      </x:c>
      <x:c r="B178" s="24" t="inlineStr">
        <x:is>
          <x:t xml:space="preserve"/>
        </x:is>
      </x:c>
      <x:c r="C178" s="28" t="inlineStr">
        <x:is>
          <x:t xml:space="preserve"/>
        </x:is>
      </x:c>
      <x:c r="D178" s="9" t="inlineStr">
        <x:is>
          <x:t xml:space="preserve"/>
        </x:is>
      </x:c>
      <x:c r="E178" s="9" t="inlineStr">
        <x:is>
          <x:t xml:space="preserve"/>
        </x:is>
      </x:c>
      <x:c r="F178" s="18">
        <x:f>IF(OR(C178="",D178=""),"",C178*D178)</x:f>
      </x:c>
      <x:c r="G178" s="18">
        <x:f>IF(OR(C178="",E178=""),"",C178*E178)</x:f>
      </x:c>
      <x:c r="H178" s="18">
        <x:f>IF(OR(F178="",G178=""),"",F178-G178)</x:f>
      </x:c>
      <x:c r="I178" s="30">
        <x:f>IF(A178="","",DATE(YEAR(A178),MONTH(A178),1))</x:f>
      </x:c>
    </x:row>
    <x:row r="179">
      <x:c r="A179" s="29" t="inlineStr">
        <x:is>
          <x:t xml:space="preserve"/>
        </x:is>
      </x:c>
      <x:c r="B179" s="24" t="inlineStr">
        <x:is>
          <x:t xml:space="preserve"/>
        </x:is>
      </x:c>
      <x:c r="C179" s="28" t="inlineStr">
        <x:is>
          <x:t xml:space="preserve"/>
        </x:is>
      </x:c>
      <x:c r="D179" s="9" t="inlineStr">
        <x:is>
          <x:t xml:space="preserve"/>
        </x:is>
      </x:c>
      <x:c r="E179" s="9" t="inlineStr">
        <x:is>
          <x:t xml:space="preserve"/>
        </x:is>
      </x:c>
      <x:c r="F179" s="18">
        <x:f>IF(OR(C179="",D179=""),"",C179*D179)</x:f>
      </x:c>
      <x:c r="G179" s="18">
        <x:f>IF(OR(C179="",E179=""),"",C179*E179)</x:f>
      </x:c>
      <x:c r="H179" s="18">
        <x:f>IF(OR(F179="",G179=""),"",F179-G179)</x:f>
      </x:c>
      <x:c r="I179" s="30">
        <x:f>IF(A179="","",DATE(YEAR(A179),MONTH(A179),1))</x:f>
      </x:c>
    </x:row>
    <x:row r="180">
      <x:c r="A180" s="29" t="inlineStr">
        <x:is>
          <x:t xml:space="preserve"/>
        </x:is>
      </x:c>
      <x:c r="B180" s="24" t="inlineStr">
        <x:is>
          <x:t xml:space="preserve"/>
        </x:is>
      </x:c>
      <x:c r="C180" s="28" t="inlineStr">
        <x:is>
          <x:t xml:space="preserve"/>
        </x:is>
      </x:c>
      <x:c r="D180" s="9" t="inlineStr">
        <x:is>
          <x:t xml:space="preserve"/>
        </x:is>
      </x:c>
      <x:c r="E180" s="9" t="inlineStr">
        <x:is>
          <x:t xml:space="preserve"/>
        </x:is>
      </x:c>
      <x:c r="F180" s="18">
        <x:f>IF(OR(C180="",D180=""),"",C180*D180)</x:f>
      </x:c>
      <x:c r="G180" s="18">
        <x:f>IF(OR(C180="",E180=""),"",C180*E180)</x:f>
      </x:c>
      <x:c r="H180" s="18">
        <x:f>IF(OR(F180="",G180=""),"",F180-G180)</x:f>
      </x:c>
      <x:c r="I180" s="30">
        <x:f>IF(A180="","",DATE(YEAR(A180),MONTH(A180),1))</x:f>
      </x:c>
    </x:row>
    <x:row r="181">
      <x:c r="A181" s="29" t="inlineStr">
        <x:is>
          <x:t xml:space="preserve"/>
        </x:is>
      </x:c>
      <x:c r="B181" s="24" t="inlineStr">
        <x:is>
          <x:t xml:space="preserve"/>
        </x:is>
      </x:c>
      <x:c r="C181" s="28" t="inlineStr">
        <x:is>
          <x:t xml:space="preserve"/>
        </x:is>
      </x:c>
      <x:c r="D181" s="9" t="inlineStr">
        <x:is>
          <x:t xml:space="preserve"/>
        </x:is>
      </x:c>
      <x:c r="E181" s="9" t="inlineStr">
        <x:is>
          <x:t xml:space="preserve"/>
        </x:is>
      </x:c>
      <x:c r="F181" s="18">
        <x:f>IF(OR(C181="",D181=""),"",C181*D181)</x:f>
      </x:c>
      <x:c r="G181" s="18">
        <x:f>IF(OR(C181="",E181=""),"",C181*E181)</x:f>
      </x:c>
      <x:c r="H181" s="18">
        <x:f>IF(OR(F181="",G181=""),"",F181-G181)</x:f>
      </x:c>
      <x:c r="I181" s="30">
        <x:f>IF(A181="","",DATE(YEAR(A181),MONTH(A181),1))</x:f>
      </x:c>
    </x:row>
    <x:row r="182">
      <x:c r="A182" s="29" t="inlineStr">
        <x:is>
          <x:t xml:space="preserve"/>
        </x:is>
      </x:c>
      <x:c r="B182" s="24" t="inlineStr">
        <x:is>
          <x:t xml:space="preserve"/>
        </x:is>
      </x:c>
      <x:c r="C182" s="28" t="inlineStr">
        <x:is>
          <x:t xml:space="preserve"/>
        </x:is>
      </x:c>
      <x:c r="D182" s="9" t="inlineStr">
        <x:is>
          <x:t xml:space="preserve"/>
        </x:is>
      </x:c>
      <x:c r="E182" s="9" t="inlineStr">
        <x:is>
          <x:t xml:space="preserve"/>
        </x:is>
      </x:c>
      <x:c r="F182" s="18">
        <x:f>IF(OR(C182="",D182=""),"",C182*D182)</x:f>
      </x:c>
      <x:c r="G182" s="18">
        <x:f>IF(OR(C182="",E182=""),"",C182*E182)</x:f>
      </x:c>
      <x:c r="H182" s="18">
        <x:f>IF(OR(F182="",G182=""),"",F182-G182)</x:f>
      </x:c>
      <x:c r="I182" s="30">
        <x:f>IF(A182="","",DATE(YEAR(A182),MONTH(A182),1))</x:f>
      </x:c>
    </x:row>
    <x:row r="183">
      <x:c r="A183" s="29" t="inlineStr">
        <x:is>
          <x:t xml:space="preserve"/>
        </x:is>
      </x:c>
      <x:c r="B183" s="24" t="inlineStr">
        <x:is>
          <x:t xml:space="preserve"/>
        </x:is>
      </x:c>
      <x:c r="C183" s="28" t="inlineStr">
        <x:is>
          <x:t xml:space="preserve"/>
        </x:is>
      </x:c>
      <x:c r="D183" s="9" t="inlineStr">
        <x:is>
          <x:t xml:space="preserve"/>
        </x:is>
      </x:c>
      <x:c r="E183" s="9" t="inlineStr">
        <x:is>
          <x:t xml:space="preserve"/>
        </x:is>
      </x:c>
      <x:c r="F183" s="18">
        <x:f>IF(OR(C183="",D183=""),"",C183*D183)</x:f>
      </x:c>
      <x:c r="G183" s="18">
        <x:f>IF(OR(C183="",E183=""),"",C183*E183)</x:f>
      </x:c>
      <x:c r="H183" s="18">
        <x:f>IF(OR(F183="",G183=""),"",F183-G183)</x:f>
      </x:c>
      <x:c r="I183" s="30">
        <x:f>IF(A183="","",DATE(YEAR(A183),MONTH(A183),1))</x:f>
      </x:c>
    </x:row>
    <x:row r="184">
      <x:c r="A184" s="29" t="inlineStr">
        <x:is>
          <x:t xml:space="preserve"/>
        </x:is>
      </x:c>
      <x:c r="B184" s="24" t="inlineStr">
        <x:is>
          <x:t xml:space="preserve"/>
        </x:is>
      </x:c>
      <x:c r="C184" s="28" t="inlineStr">
        <x:is>
          <x:t xml:space="preserve"/>
        </x:is>
      </x:c>
      <x:c r="D184" s="9" t="inlineStr">
        <x:is>
          <x:t xml:space="preserve"/>
        </x:is>
      </x:c>
      <x:c r="E184" s="9" t="inlineStr">
        <x:is>
          <x:t xml:space="preserve"/>
        </x:is>
      </x:c>
      <x:c r="F184" s="18">
        <x:f>IF(OR(C184="",D184=""),"",C184*D184)</x:f>
      </x:c>
      <x:c r="G184" s="18">
        <x:f>IF(OR(C184="",E184=""),"",C184*E184)</x:f>
      </x:c>
      <x:c r="H184" s="18">
        <x:f>IF(OR(F184="",G184=""),"",F184-G184)</x:f>
      </x:c>
      <x:c r="I184" s="30">
        <x:f>IF(A184="","",DATE(YEAR(A184),MONTH(A184),1))</x:f>
      </x:c>
    </x:row>
    <x:row r="185">
      <x:c r="A185" s="29" t="inlineStr">
        <x:is>
          <x:t xml:space="preserve"/>
        </x:is>
      </x:c>
      <x:c r="B185" s="24" t="inlineStr">
        <x:is>
          <x:t xml:space="preserve"/>
        </x:is>
      </x:c>
      <x:c r="C185" s="28" t="inlineStr">
        <x:is>
          <x:t xml:space="preserve"/>
        </x:is>
      </x:c>
      <x:c r="D185" s="9" t="inlineStr">
        <x:is>
          <x:t xml:space="preserve"/>
        </x:is>
      </x:c>
      <x:c r="E185" s="9" t="inlineStr">
        <x:is>
          <x:t xml:space="preserve"/>
        </x:is>
      </x:c>
      <x:c r="F185" s="18">
        <x:f>IF(OR(C185="",D185=""),"",C185*D185)</x:f>
      </x:c>
      <x:c r="G185" s="18">
        <x:f>IF(OR(C185="",E185=""),"",C185*E185)</x:f>
      </x:c>
      <x:c r="H185" s="18">
        <x:f>IF(OR(F185="",G185=""),"",F185-G185)</x:f>
      </x:c>
      <x:c r="I185" s="30">
        <x:f>IF(A185="","",DATE(YEAR(A185),MONTH(A185),1))</x:f>
      </x:c>
    </x:row>
    <x:row r="186">
      <x:c r="A186" s="29" t="inlineStr">
        <x:is>
          <x:t xml:space="preserve"/>
        </x:is>
      </x:c>
      <x:c r="B186" s="24" t="inlineStr">
        <x:is>
          <x:t xml:space="preserve"/>
        </x:is>
      </x:c>
      <x:c r="C186" s="28" t="inlineStr">
        <x:is>
          <x:t xml:space="preserve"/>
        </x:is>
      </x:c>
      <x:c r="D186" s="9" t="inlineStr">
        <x:is>
          <x:t xml:space="preserve"/>
        </x:is>
      </x:c>
      <x:c r="E186" s="9" t="inlineStr">
        <x:is>
          <x:t xml:space="preserve"/>
        </x:is>
      </x:c>
      <x:c r="F186" s="18">
        <x:f>IF(OR(C186="",D186=""),"",C186*D186)</x:f>
      </x:c>
      <x:c r="G186" s="18">
        <x:f>IF(OR(C186="",E186=""),"",C186*E186)</x:f>
      </x:c>
      <x:c r="H186" s="18">
        <x:f>IF(OR(F186="",G186=""),"",F186-G186)</x:f>
      </x:c>
      <x:c r="I186" s="30">
        <x:f>IF(A186="","",DATE(YEAR(A186),MONTH(A186),1))</x:f>
      </x:c>
    </x:row>
    <x:row r="187">
      <x:c r="A187" s="29" t="inlineStr">
        <x:is>
          <x:t xml:space="preserve"/>
        </x:is>
      </x:c>
      <x:c r="B187" s="24" t="inlineStr">
        <x:is>
          <x:t xml:space="preserve"/>
        </x:is>
      </x:c>
      <x:c r="C187" s="28" t="inlineStr">
        <x:is>
          <x:t xml:space="preserve"/>
        </x:is>
      </x:c>
      <x:c r="D187" s="9" t="inlineStr">
        <x:is>
          <x:t xml:space="preserve"/>
        </x:is>
      </x:c>
      <x:c r="E187" s="9" t="inlineStr">
        <x:is>
          <x:t xml:space="preserve"/>
        </x:is>
      </x:c>
      <x:c r="F187" s="18">
        <x:f>IF(OR(C187="",D187=""),"",C187*D187)</x:f>
      </x:c>
      <x:c r="G187" s="18">
        <x:f>IF(OR(C187="",E187=""),"",C187*E187)</x:f>
      </x:c>
      <x:c r="H187" s="18">
        <x:f>IF(OR(F187="",G187=""),"",F187-G187)</x:f>
      </x:c>
      <x:c r="I187" s="30">
        <x:f>IF(A187="","",DATE(YEAR(A187),MONTH(A187),1))</x:f>
      </x:c>
    </x:row>
    <x:row r="188">
      <x:c r="A188" s="29" t="inlineStr">
        <x:is>
          <x:t xml:space="preserve"/>
        </x:is>
      </x:c>
      <x:c r="B188" s="24" t="inlineStr">
        <x:is>
          <x:t xml:space="preserve"/>
        </x:is>
      </x:c>
      <x:c r="C188" s="28" t="inlineStr">
        <x:is>
          <x:t xml:space="preserve"/>
        </x:is>
      </x:c>
      <x:c r="D188" s="9" t="inlineStr">
        <x:is>
          <x:t xml:space="preserve"/>
        </x:is>
      </x:c>
      <x:c r="E188" s="9" t="inlineStr">
        <x:is>
          <x:t xml:space="preserve"/>
        </x:is>
      </x:c>
      <x:c r="F188" s="18">
        <x:f>IF(OR(C188="",D188=""),"",C188*D188)</x:f>
      </x:c>
      <x:c r="G188" s="18">
        <x:f>IF(OR(C188="",E188=""),"",C188*E188)</x:f>
      </x:c>
      <x:c r="H188" s="18">
        <x:f>IF(OR(F188="",G188=""),"",F188-G188)</x:f>
      </x:c>
      <x:c r="I188" s="30">
        <x:f>IF(A188="","",DATE(YEAR(A188),MONTH(A188),1))</x:f>
      </x:c>
    </x:row>
    <x:row r="189">
      <x:c r="A189" s="29" t="inlineStr">
        <x:is>
          <x:t xml:space="preserve"/>
        </x:is>
      </x:c>
      <x:c r="B189" s="24" t="inlineStr">
        <x:is>
          <x:t xml:space="preserve"/>
        </x:is>
      </x:c>
      <x:c r="C189" s="28" t="inlineStr">
        <x:is>
          <x:t xml:space="preserve"/>
        </x:is>
      </x:c>
      <x:c r="D189" s="9" t="inlineStr">
        <x:is>
          <x:t xml:space="preserve"/>
        </x:is>
      </x:c>
      <x:c r="E189" s="9" t="inlineStr">
        <x:is>
          <x:t xml:space="preserve"/>
        </x:is>
      </x:c>
      <x:c r="F189" s="18">
        <x:f>IF(OR(C189="",D189=""),"",C189*D189)</x:f>
      </x:c>
      <x:c r="G189" s="18">
        <x:f>IF(OR(C189="",E189=""),"",C189*E189)</x:f>
      </x:c>
      <x:c r="H189" s="18">
        <x:f>IF(OR(F189="",G189=""),"",F189-G189)</x:f>
      </x:c>
      <x:c r="I189" s="30">
        <x:f>IF(A189="","",DATE(YEAR(A189),MONTH(A189),1))</x:f>
      </x:c>
    </x:row>
    <x:row r="190">
      <x:c r="A190" s="29" t="inlineStr">
        <x:is>
          <x:t xml:space="preserve"/>
        </x:is>
      </x:c>
      <x:c r="B190" s="24" t="inlineStr">
        <x:is>
          <x:t xml:space="preserve"/>
        </x:is>
      </x:c>
      <x:c r="C190" s="28" t="inlineStr">
        <x:is>
          <x:t xml:space="preserve"/>
        </x:is>
      </x:c>
      <x:c r="D190" s="9" t="inlineStr">
        <x:is>
          <x:t xml:space="preserve"/>
        </x:is>
      </x:c>
      <x:c r="E190" s="9" t="inlineStr">
        <x:is>
          <x:t xml:space="preserve"/>
        </x:is>
      </x:c>
      <x:c r="F190" s="18">
        <x:f>IF(OR(C190="",D190=""),"",C190*D190)</x:f>
      </x:c>
      <x:c r="G190" s="18">
        <x:f>IF(OR(C190="",E190=""),"",C190*E190)</x:f>
      </x:c>
      <x:c r="H190" s="18">
        <x:f>IF(OR(F190="",G190=""),"",F190-G190)</x:f>
      </x:c>
      <x:c r="I190" s="30">
        <x:f>IF(A190="","",DATE(YEAR(A190),MONTH(A190),1))</x:f>
      </x:c>
    </x:row>
    <x:row r="191">
      <x:c r="A191" s="29" t="inlineStr">
        <x:is>
          <x:t xml:space="preserve"/>
        </x:is>
      </x:c>
      <x:c r="B191" s="24" t="inlineStr">
        <x:is>
          <x:t xml:space="preserve"/>
        </x:is>
      </x:c>
      <x:c r="C191" s="28" t="inlineStr">
        <x:is>
          <x:t xml:space="preserve"/>
        </x:is>
      </x:c>
      <x:c r="D191" s="9" t="inlineStr">
        <x:is>
          <x:t xml:space="preserve"/>
        </x:is>
      </x:c>
      <x:c r="E191" s="9" t="inlineStr">
        <x:is>
          <x:t xml:space="preserve"/>
        </x:is>
      </x:c>
      <x:c r="F191" s="18">
        <x:f>IF(OR(C191="",D191=""),"",C191*D191)</x:f>
      </x:c>
      <x:c r="G191" s="18">
        <x:f>IF(OR(C191="",E191=""),"",C191*E191)</x:f>
      </x:c>
      <x:c r="H191" s="18">
        <x:f>IF(OR(F191="",G191=""),"",F191-G191)</x:f>
      </x:c>
      <x:c r="I191" s="30">
        <x:f>IF(A191="","",DATE(YEAR(A191),MONTH(A191),1))</x:f>
      </x:c>
    </x:row>
    <x:row r="192">
      <x:c r="A192" s="29" t="inlineStr">
        <x:is>
          <x:t xml:space="preserve"/>
        </x:is>
      </x:c>
      <x:c r="B192" s="24" t="inlineStr">
        <x:is>
          <x:t xml:space="preserve"/>
        </x:is>
      </x:c>
      <x:c r="C192" s="28" t="inlineStr">
        <x:is>
          <x:t xml:space="preserve"/>
        </x:is>
      </x:c>
      <x:c r="D192" s="9" t="inlineStr">
        <x:is>
          <x:t xml:space="preserve"/>
        </x:is>
      </x:c>
      <x:c r="E192" s="9" t="inlineStr">
        <x:is>
          <x:t xml:space="preserve"/>
        </x:is>
      </x:c>
      <x:c r="F192" s="18">
        <x:f>IF(OR(C192="",D192=""),"",C192*D192)</x:f>
      </x:c>
      <x:c r="G192" s="18">
        <x:f>IF(OR(C192="",E192=""),"",C192*E192)</x:f>
      </x:c>
      <x:c r="H192" s="18">
        <x:f>IF(OR(F192="",G192=""),"",F192-G192)</x:f>
      </x:c>
      <x:c r="I192" s="30">
        <x:f>IF(A192="","",DATE(YEAR(A192),MONTH(A192),1))</x:f>
      </x:c>
    </x:row>
    <x:row r="193">
      <x:c r="A193" s="29" t="inlineStr">
        <x:is>
          <x:t xml:space="preserve"/>
        </x:is>
      </x:c>
      <x:c r="B193" s="24" t="inlineStr">
        <x:is>
          <x:t xml:space="preserve"/>
        </x:is>
      </x:c>
      <x:c r="C193" s="28" t="inlineStr">
        <x:is>
          <x:t xml:space="preserve"/>
        </x:is>
      </x:c>
      <x:c r="D193" s="9" t="inlineStr">
        <x:is>
          <x:t xml:space="preserve"/>
        </x:is>
      </x:c>
      <x:c r="E193" s="9" t="inlineStr">
        <x:is>
          <x:t xml:space="preserve"/>
        </x:is>
      </x:c>
      <x:c r="F193" s="18">
        <x:f>IF(OR(C193="",D193=""),"",C193*D193)</x:f>
      </x:c>
      <x:c r="G193" s="18">
        <x:f>IF(OR(C193="",E193=""),"",C193*E193)</x:f>
      </x:c>
      <x:c r="H193" s="18">
        <x:f>IF(OR(F193="",G193=""),"",F193-G193)</x:f>
      </x:c>
      <x:c r="I193" s="30">
        <x:f>IF(A193="","",DATE(YEAR(A193),MONTH(A193),1))</x:f>
      </x:c>
    </x:row>
    <x:row r="194">
      <x:c r="A194" s="29" t="inlineStr">
        <x:is>
          <x:t xml:space="preserve"/>
        </x:is>
      </x:c>
      <x:c r="B194" s="24" t="inlineStr">
        <x:is>
          <x:t xml:space="preserve"/>
        </x:is>
      </x:c>
      <x:c r="C194" s="28" t="inlineStr">
        <x:is>
          <x:t xml:space="preserve"/>
        </x:is>
      </x:c>
      <x:c r="D194" s="9" t="inlineStr">
        <x:is>
          <x:t xml:space="preserve"/>
        </x:is>
      </x:c>
      <x:c r="E194" s="9" t="inlineStr">
        <x:is>
          <x:t xml:space="preserve"/>
        </x:is>
      </x:c>
      <x:c r="F194" s="18">
        <x:f>IF(OR(C194="",D194=""),"",C194*D194)</x:f>
      </x:c>
      <x:c r="G194" s="18">
        <x:f>IF(OR(C194="",E194=""),"",C194*E194)</x:f>
      </x:c>
      <x:c r="H194" s="18">
        <x:f>IF(OR(F194="",G194=""),"",F194-G194)</x:f>
      </x:c>
      <x:c r="I194" s="30">
        <x:f>IF(A194="","",DATE(YEAR(A194),MONTH(A194),1))</x:f>
      </x:c>
    </x:row>
    <x:row r="195">
      <x:c r="A195" s="29" t="inlineStr">
        <x:is>
          <x:t xml:space="preserve"/>
        </x:is>
      </x:c>
      <x:c r="B195" s="24" t="inlineStr">
        <x:is>
          <x:t xml:space="preserve"/>
        </x:is>
      </x:c>
      <x:c r="C195" s="28" t="inlineStr">
        <x:is>
          <x:t xml:space="preserve"/>
        </x:is>
      </x:c>
      <x:c r="D195" s="9" t="inlineStr">
        <x:is>
          <x:t xml:space="preserve"/>
        </x:is>
      </x:c>
      <x:c r="E195" s="9" t="inlineStr">
        <x:is>
          <x:t xml:space="preserve"/>
        </x:is>
      </x:c>
      <x:c r="F195" s="18">
        <x:f>IF(OR(C195="",D195=""),"",C195*D195)</x:f>
      </x:c>
      <x:c r="G195" s="18">
        <x:f>IF(OR(C195="",E195=""),"",C195*E195)</x:f>
      </x:c>
      <x:c r="H195" s="18">
        <x:f>IF(OR(F195="",G195=""),"",F195-G195)</x:f>
      </x:c>
      <x:c r="I195" s="30">
        <x:f>IF(A195="","",DATE(YEAR(A195),MONTH(A195),1))</x:f>
      </x:c>
    </x:row>
    <x:row r="196">
      <x:c r="A196" s="29" t="inlineStr">
        <x:is>
          <x:t xml:space="preserve"/>
        </x:is>
      </x:c>
      <x:c r="B196" s="24" t="inlineStr">
        <x:is>
          <x:t xml:space="preserve"/>
        </x:is>
      </x:c>
      <x:c r="C196" s="28" t="inlineStr">
        <x:is>
          <x:t xml:space="preserve"/>
        </x:is>
      </x:c>
      <x:c r="D196" s="9" t="inlineStr">
        <x:is>
          <x:t xml:space="preserve"/>
        </x:is>
      </x:c>
      <x:c r="E196" s="9" t="inlineStr">
        <x:is>
          <x:t xml:space="preserve"/>
        </x:is>
      </x:c>
      <x:c r="F196" s="18">
        <x:f>IF(OR(C196="",D196=""),"",C196*D196)</x:f>
      </x:c>
      <x:c r="G196" s="18">
        <x:f>IF(OR(C196="",E196=""),"",C196*E196)</x:f>
      </x:c>
      <x:c r="H196" s="18">
        <x:f>IF(OR(F196="",G196=""),"",F196-G196)</x:f>
      </x:c>
      <x:c r="I196" s="30">
        <x:f>IF(A196="","",DATE(YEAR(A196),MONTH(A196),1))</x:f>
      </x:c>
    </x:row>
    <x:row r="197">
      <x:c r="A197" s="29" t="inlineStr">
        <x:is>
          <x:t xml:space="preserve"/>
        </x:is>
      </x:c>
      <x:c r="B197" s="24" t="inlineStr">
        <x:is>
          <x:t xml:space="preserve"/>
        </x:is>
      </x:c>
      <x:c r="C197" s="28" t="inlineStr">
        <x:is>
          <x:t xml:space="preserve"/>
        </x:is>
      </x:c>
      <x:c r="D197" s="9" t="inlineStr">
        <x:is>
          <x:t xml:space="preserve"/>
        </x:is>
      </x:c>
      <x:c r="E197" s="9" t="inlineStr">
        <x:is>
          <x:t xml:space="preserve"/>
        </x:is>
      </x:c>
      <x:c r="F197" s="18">
        <x:f>IF(OR(C197="",D197=""),"",C197*D197)</x:f>
      </x:c>
      <x:c r="G197" s="18">
        <x:f>IF(OR(C197="",E197=""),"",C197*E197)</x:f>
      </x:c>
      <x:c r="H197" s="18">
        <x:f>IF(OR(F197="",G197=""),"",F197-G197)</x:f>
      </x:c>
      <x:c r="I197" s="30">
        <x:f>IF(A197="","",DATE(YEAR(A197),MONTH(A197),1))</x:f>
      </x:c>
    </x:row>
    <x:row r="198">
      <x:c r="A198" s="29" t="inlineStr">
        <x:is>
          <x:t xml:space="preserve"/>
        </x:is>
      </x:c>
      <x:c r="B198" s="24" t="inlineStr">
        <x:is>
          <x:t xml:space="preserve"/>
        </x:is>
      </x:c>
      <x:c r="C198" s="28" t="inlineStr">
        <x:is>
          <x:t xml:space="preserve"/>
        </x:is>
      </x:c>
      <x:c r="D198" s="9" t="inlineStr">
        <x:is>
          <x:t xml:space="preserve"/>
        </x:is>
      </x:c>
      <x:c r="E198" s="9" t="inlineStr">
        <x:is>
          <x:t xml:space="preserve"/>
        </x:is>
      </x:c>
      <x:c r="F198" s="18">
        <x:f>IF(OR(C198="",D198=""),"",C198*D198)</x:f>
      </x:c>
      <x:c r="G198" s="18">
        <x:f>IF(OR(C198="",E198=""),"",C198*E198)</x:f>
      </x:c>
      <x:c r="H198" s="18">
        <x:f>IF(OR(F198="",G198=""),"",F198-G198)</x:f>
      </x:c>
      <x:c r="I198" s="30">
        <x:f>IF(A198="","",DATE(YEAR(A198),MONTH(A198),1))</x:f>
      </x:c>
    </x:row>
    <x:row r="199">
      <x:c r="A199" s="29" t="inlineStr">
        <x:is>
          <x:t xml:space="preserve"/>
        </x:is>
      </x:c>
      <x:c r="B199" s="24" t="inlineStr">
        <x:is>
          <x:t xml:space="preserve"/>
        </x:is>
      </x:c>
      <x:c r="C199" s="28" t="inlineStr">
        <x:is>
          <x:t xml:space="preserve"/>
        </x:is>
      </x:c>
      <x:c r="D199" s="9" t="inlineStr">
        <x:is>
          <x:t xml:space="preserve"/>
        </x:is>
      </x:c>
      <x:c r="E199" s="9" t="inlineStr">
        <x:is>
          <x:t xml:space="preserve"/>
        </x:is>
      </x:c>
      <x:c r="F199" s="18">
        <x:f>IF(OR(C199="",D199=""),"",C199*D199)</x:f>
      </x:c>
      <x:c r="G199" s="18">
        <x:f>IF(OR(C199="",E199=""),"",C199*E199)</x:f>
      </x:c>
      <x:c r="H199" s="18">
        <x:f>IF(OR(F199="",G199=""),"",F199-G199)</x:f>
      </x:c>
      <x:c r="I199" s="30">
        <x:f>IF(A199="","",DATE(YEAR(A199),MONTH(A199),1))</x:f>
      </x:c>
    </x:row>
    <x:row r="200">
      <x:c r="A200" s="29" t="inlineStr">
        <x:is>
          <x:t xml:space="preserve"/>
        </x:is>
      </x:c>
      <x:c r="B200" s="24" t="inlineStr">
        <x:is>
          <x:t xml:space="preserve"/>
        </x:is>
      </x:c>
      <x:c r="C200" s="28" t="inlineStr">
        <x:is>
          <x:t xml:space="preserve"/>
        </x:is>
      </x:c>
      <x:c r="D200" s="9" t="inlineStr">
        <x:is>
          <x:t xml:space="preserve"/>
        </x:is>
      </x:c>
      <x:c r="E200" s="9" t="inlineStr">
        <x:is>
          <x:t xml:space="preserve"/>
        </x:is>
      </x:c>
      <x:c r="F200" s="18">
        <x:f>IF(OR(C200="",D200=""),"",C200*D200)</x:f>
      </x:c>
      <x:c r="G200" s="18">
        <x:f>IF(OR(C200="",E200=""),"",C200*E200)</x:f>
      </x:c>
      <x:c r="H200" s="18">
        <x:f>IF(OR(F200="",G200=""),"",F200-G200)</x:f>
      </x:c>
      <x:c r="I200" s="30">
        <x:f>IF(A200="","",DATE(YEAR(A200),MONTH(A200),1))</x:f>
      </x:c>
    </x:row>
    <x:row r="201">
      <x:c r="A201" s="29" t="inlineStr">
        <x:is>
          <x:t xml:space="preserve"/>
        </x:is>
      </x:c>
      <x:c r="B201" s="24" t="inlineStr">
        <x:is>
          <x:t xml:space="preserve"/>
        </x:is>
      </x:c>
      <x:c r="C201" s="28" t="inlineStr">
        <x:is>
          <x:t xml:space="preserve"/>
        </x:is>
      </x:c>
      <x:c r="D201" s="9" t="inlineStr">
        <x:is>
          <x:t xml:space="preserve"/>
        </x:is>
      </x:c>
      <x:c r="E201" s="9" t="inlineStr">
        <x:is>
          <x:t xml:space="preserve"/>
        </x:is>
      </x:c>
      <x:c r="F201" s="18">
        <x:f>IF(OR(C201="",D201=""),"",C201*D201)</x:f>
      </x:c>
      <x:c r="G201" s="18">
        <x:f>IF(OR(C201="",E201=""),"",C201*E201)</x:f>
      </x:c>
      <x:c r="H201" s="18">
        <x:f>IF(OR(F201="",G201=""),"",F201-G201)</x:f>
      </x:c>
      <x:c r="I201" s="30">
        <x:f>IF(A201="","",DATE(YEAR(A201),MONTH(A201),1))</x:f>
      </x:c>
    </x:row>
    <x:row r="202">
      <x:c r="A202" s="29" t="inlineStr">
        <x:is>
          <x:t xml:space="preserve"/>
        </x:is>
      </x:c>
      <x:c r="B202" s="24" t="inlineStr">
        <x:is>
          <x:t xml:space="preserve"/>
        </x:is>
      </x:c>
      <x:c r="C202" s="28" t="inlineStr">
        <x:is>
          <x:t xml:space="preserve"/>
        </x:is>
      </x:c>
      <x:c r="D202" s="9" t="inlineStr">
        <x:is>
          <x:t xml:space="preserve"/>
        </x:is>
      </x:c>
      <x:c r="E202" s="9" t="inlineStr">
        <x:is>
          <x:t xml:space="preserve"/>
        </x:is>
      </x:c>
      <x:c r="F202" s="18">
        <x:f>IF(OR(C202="",D202=""),"",C202*D202)</x:f>
      </x:c>
      <x:c r="G202" s="18">
        <x:f>IF(OR(C202="",E202=""),"",C202*E202)</x:f>
      </x:c>
      <x:c r="H202" s="18">
        <x:f>IF(OR(F202="",G202=""),"",F202-G202)</x:f>
      </x:c>
      <x:c r="I202" s="30">
        <x:f>IF(A202="","",DATE(YEAR(A202),MONTH(A202),1))</x:f>
      </x:c>
    </x:row>
    <x:row r="203">
      <x:c r="A203" s="29" t="inlineStr">
        <x:is>
          <x:t xml:space="preserve"/>
        </x:is>
      </x:c>
      <x:c r="B203" s="24" t="inlineStr">
        <x:is>
          <x:t xml:space="preserve"/>
        </x:is>
      </x:c>
      <x:c r="C203" s="28" t="inlineStr">
        <x:is>
          <x:t xml:space="preserve"/>
        </x:is>
      </x:c>
      <x:c r="D203" s="9" t="inlineStr">
        <x:is>
          <x:t xml:space="preserve"/>
        </x:is>
      </x:c>
      <x:c r="E203" s="9" t="inlineStr">
        <x:is>
          <x:t xml:space="preserve"/>
        </x:is>
      </x:c>
      <x:c r="F203" s="18">
        <x:f>IF(OR(C203="",D203=""),"",C203*D203)</x:f>
      </x:c>
      <x:c r="G203" s="18">
        <x:f>IF(OR(C203="",E203=""),"",C203*E203)</x:f>
      </x:c>
      <x:c r="H203" s="18">
        <x:f>IF(OR(F203="",G203=""),"",F203-G203)</x:f>
      </x:c>
      <x:c r="I203" s="30">
        <x:f>IF(A203="","",DATE(YEAR(A203),MONTH(A203),1))</x:f>
      </x:c>
    </x:row>
    <x:row r="204">
      <x:c r="A204" s="29" t="inlineStr">
        <x:is>
          <x:t xml:space="preserve"/>
        </x:is>
      </x:c>
      <x:c r="B204" s="24" t="inlineStr">
        <x:is>
          <x:t xml:space="preserve"/>
        </x:is>
      </x:c>
      <x:c r="C204" s="28" t="inlineStr">
        <x:is>
          <x:t xml:space="preserve"/>
        </x:is>
      </x:c>
      <x:c r="D204" s="9" t="inlineStr">
        <x:is>
          <x:t xml:space="preserve"/>
        </x:is>
      </x:c>
      <x:c r="E204" s="9" t="inlineStr">
        <x:is>
          <x:t xml:space="preserve"/>
        </x:is>
      </x:c>
      <x:c r="F204" s="18">
        <x:f>IF(OR(C204="",D204=""),"",C204*D204)</x:f>
      </x:c>
      <x:c r="G204" s="18">
        <x:f>IF(OR(C204="",E204=""),"",C204*E204)</x:f>
      </x:c>
      <x:c r="H204" s="18">
        <x:f>IF(OR(F204="",G204=""),"",F204-G204)</x:f>
      </x:c>
      <x:c r="I204" s="30">
        <x:f>IF(A204="","",DATE(YEAR(A204),MONTH(A204),1))</x:f>
      </x:c>
    </x:row>
    <x:row r="205">
      <x:c r="A205" s="29" t="inlineStr">
        <x:is>
          <x:t xml:space="preserve"/>
        </x:is>
      </x:c>
      <x:c r="B205" s="24" t="inlineStr">
        <x:is>
          <x:t xml:space="preserve"/>
        </x:is>
      </x:c>
      <x:c r="C205" s="28" t="inlineStr">
        <x:is>
          <x:t xml:space="preserve"/>
        </x:is>
      </x:c>
      <x:c r="D205" s="9" t="inlineStr">
        <x:is>
          <x:t xml:space="preserve"/>
        </x:is>
      </x:c>
      <x:c r="E205" s="9" t="inlineStr">
        <x:is>
          <x:t xml:space="preserve"/>
        </x:is>
      </x:c>
      <x:c r="F205" s="18">
        <x:f>IF(OR(C205="",D205=""),"",C205*D205)</x:f>
      </x:c>
      <x:c r="G205" s="18">
        <x:f>IF(OR(C205="",E205=""),"",C205*E205)</x:f>
      </x:c>
      <x:c r="H205" s="18">
        <x:f>IF(OR(F205="",G205=""),"",F205-G205)</x:f>
      </x:c>
      <x:c r="I205" s="30">
        <x:f>IF(A205="","",DATE(YEAR(A205),MONTH(A205),1))</x:f>
      </x:c>
    </x:row>
    <x:row r="206">
      <x:c r="A206" s="29" t="inlineStr">
        <x:is>
          <x:t xml:space="preserve"/>
        </x:is>
      </x:c>
      <x:c r="B206" s="24" t="inlineStr">
        <x:is>
          <x:t xml:space="preserve"/>
        </x:is>
      </x:c>
      <x:c r="C206" s="28" t="inlineStr">
        <x:is>
          <x:t xml:space="preserve"/>
        </x:is>
      </x:c>
      <x:c r="D206" s="9" t="inlineStr">
        <x:is>
          <x:t xml:space="preserve"/>
        </x:is>
      </x:c>
      <x:c r="E206" s="9" t="inlineStr">
        <x:is>
          <x:t xml:space="preserve"/>
        </x:is>
      </x:c>
      <x:c r="F206" s="18">
        <x:f>IF(OR(C206="",D206=""),"",C206*D206)</x:f>
      </x:c>
      <x:c r="G206" s="18">
        <x:f>IF(OR(C206="",E206=""),"",C206*E206)</x:f>
      </x:c>
      <x:c r="H206" s="18">
        <x:f>IF(OR(F206="",G206=""),"",F206-G206)</x:f>
      </x:c>
      <x:c r="I206" s="30">
        <x:f>IF(A206="","",DATE(YEAR(A206),MONTH(A206),1))</x:f>
      </x:c>
    </x:row>
  </x:sheetData>
  <x:mergeCells>
    <x:mergeCell ref="A2:H2"/>
    <x:mergeCell ref="J5:N5"/>
    <x:mergeCell ref="A5:H5"/>
    <x:mergeCell ref="A1:H1"/>
  </x:mergeCells>
  <x:pageMargins left="0.7" right="0.7" top="0.75" bottom="0.75" header="0.3" footer="0.3"/>
</x:worksheet>
</file>